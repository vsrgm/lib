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nth\lib\Project\IOT_Home\Schematics\projects\SmartHome\"/>
    </mc:Choice>
  </mc:AlternateContent>
  <xr:revisionPtr revIDLastSave="0" documentId="13_ncr:1_{ED2715BD-1CB1-4C61-B855-F562788996C7}" xr6:coauthVersionLast="47" xr6:coauthVersionMax="47" xr10:uidLastSave="{00000000-0000-0000-0000-000000000000}"/>
  <bookViews>
    <workbookView xWindow="-105" yWindow="0" windowWidth="14610" windowHeight="17385" xr2:uid="{FCFA3045-4F24-48AE-B5DB-CA8B3CBA1064}"/>
  </bookViews>
  <sheets>
    <sheet name="Voltage Div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N13" i="1"/>
  <c r="M13" i="1"/>
  <c r="O10" i="1"/>
  <c r="O7" i="1"/>
  <c r="N7" i="1"/>
  <c r="M7" i="1"/>
  <c r="P10" i="1"/>
  <c r="G10" i="1"/>
  <c r="F8" i="1"/>
  <c r="F10" i="1"/>
  <c r="E8" i="1"/>
  <c r="E10" i="1" s="1"/>
  <c r="N10" i="1" l="1"/>
  <c r="M10" i="1"/>
</calcChain>
</file>

<file path=xl/sharedStrings.xml><?xml version="1.0" encoding="utf-8"?>
<sst xmlns="http://schemas.openxmlformats.org/spreadsheetml/2006/main" count="20" uniqueCount="15">
  <si>
    <t>V</t>
  </si>
  <si>
    <t>R1</t>
  </si>
  <si>
    <t>R2</t>
  </si>
  <si>
    <t>Vmid</t>
  </si>
  <si>
    <t>OFF</t>
  </si>
  <si>
    <t>ON</t>
  </si>
  <si>
    <t>MaxLimit to BC547</t>
  </si>
  <si>
    <t>Light LDR Calcuation</t>
  </si>
  <si>
    <t>Battery Voltage</t>
  </si>
  <si>
    <t>Normal max</t>
  </si>
  <si>
    <t>Low cut off</t>
  </si>
  <si>
    <t>Battery</t>
  </si>
  <si>
    <t>Full</t>
  </si>
  <si>
    <t>Normal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</si>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</sst>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ED6B-1406-455B-9DAC-5FB32CF7BD53}">
  <dimension ref="D5:P13"/>
  <sheetViews>
    <sheetView tabSelected="1" topLeftCell="H1" workbookViewId="0">
      <selection activeCell="O13" sqref="O13"/>
    </sheetView>
  </sheetViews>
  <sheetFormatPr defaultRowHeight="15" x14ac:dyDescent="0.25"/>
  <cols>
    <col min="7" max="7" width="18" customWidth="1"/>
  </cols>
  <sheetData>
    <row r="5" spans="4:16" x14ac:dyDescent="0.25">
      <c r="D5" s="2" t="s">
        <v>7</v>
      </c>
      <c r="E5" s="2"/>
      <c r="F5" s="2"/>
      <c r="G5" s="2"/>
      <c r="I5" t="s">
        <v>8</v>
      </c>
      <c r="J5">
        <v>4.2</v>
      </c>
      <c r="L5" s="2" t="s">
        <v>11</v>
      </c>
      <c r="M5" s="2"/>
      <c r="N5" s="2"/>
      <c r="O5" s="2"/>
      <c r="P5" s="2"/>
    </row>
    <row r="6" spans="4:16" x14ac:dyDescent="0.25">
      <c r="D6" s="1"/>
      <c r="E6" s="1" t="s">
        <v>4</v>
      </c>
      <c r="F6" s="1" t="s">
        <v>5</v>
      </c>
      <c r="G6" s="1" t="s">
        <v>6</v>
      </c>
      <c r="I6" t="s">
        <v>9</v>
      </c>
      <c r="J6">
        <v>3.7</v>
      </c>
      <c r="L6" s="1"/>
      <c r="M6" s="1" t="s">
        <v>12</v>
      </c>
      <c r="N6" s="1" t="s">
        <v>13</v>
      </c>
      <c r="O6" s="1" t="s">
        <v>14</v>
      </c>
      <c r="P6" s="1" t="s">
        <v>6</v>
      </c>
    </row>
    <row r="7" spans="4:16" x14ac:dyDescent="0.25">
      <c r="D7" s="1" t="s">
        <v>0</v>
      </c>
      <c r="E7" s="1">
        <v>5.3</v>
      </c>
      <c r="F7" s="1">
        <v>5.3</v>
      </c>
      <c r="G7" s="1"/>
      <c r="I7" t="s">
        <v>10</v>
      </c>
      <c r="J7">
        <v>3</v>
      </c>
      <c r="L7" s="1" t="s">
        <v>0</v>
      </c>
      <c r="M7" s="1">
        <f>J5</f>
        <v>4.2</v>
      </c>
      <c r="N7" s="1">
        <f>J6</f>
        <v>3.7</v>
      </c>
      <c r="O7" s="1">
        <f>J7</f>
        <v>3</v>
      </c>
      <c r="P7" s="1"/>
    </row>
    <row r="8" spans="4:16" x14ac:dyDescent="0.25">
      <c r="D8" s="1" t="s">
        <v>1</v>
      </c>
      <c r="E8" s="1">
        <f>1.1*1000</f>
        <v>1100</v>
      </c>
      <c r="F8" s="1">
        <f>0.007*1000</f>
        <v>7</v>
      </c>
      <c r="G8" s="1"/>
      <c r="L8" s="1" t="s">
        <v>1</v>
      </c>
      <c r="M8" s="1">
        <v>10</v>
      </c>
      <c r="N8" s="1">
        <v>10</v>
      </c>
      <c r="O8" s="1">
        <v>10</v>
      </c>
      <c r="P8" s="1"/>
    </row>
    <row r="9" spans="4:16" x14ac:dyDescent="0.25">
      <c r="D9" s="1" t="s">
        <v>2</v>
      </c>
      <c r="E9" s="1">
        <v>6</v>
      </c>
      <c r="F9" s="1">
        <v>6</v>
      </c>
      <c r="G9" s="1"/>
      <c r="L9" s="1" t="s">
        <v>2</v>
      </c>
      <c r="M9" s="1">
        <v>10</v>
      </c>
      <c r="N9" s="1">
        <v>10</v>
      </c>
      <c r="O9" s="1">
        <v>10</v>
      </c>
      <c r="P9" s="1"/>
    </row>
    <row r="10" spans="4:16" x14ac:dyDescent="0.25">
      <c r="D10" s="1" t="s">
        <v>3</v>
      </c>
      <c r="E10" s="1">
        <f>E7*E9/(E8+E9)</f>
        <v>2.8752260397830017E-2</v>
      </c>
      <c r="F10" s="1">
        <f>F7*F9/(F8+F9)</f>
        <v>2.4461538461538459</v>
      </c>
      <c r="G10" s="1">
        <f>3.3-0.7</f>
        <v>2.5999999999999996</v>
      </c>
      <c r="L10" s="1" t="s">
        <v>3</v>
      </c>
      <c r="M10" s="1">
        <f>M7*M9/(M8+M9)</f>
        <v>2.1</v>
      </c>
      <c r="N10" s="1">
        <f>N7*N9/(N8+N9)</f>
        <v>1.85</v>
      </c>
      <c r="O10" s="1">
        <f>O7*O9/(O8+O9)</f>
        <v>1.5</v>
      </c>
      <c r="P10" s="1">
        <f>3.3-0.7</f>
        <v>2.5999999999999996</v>
      </c>
    </row>
    <row r="12" spans="4:16" x14ac:dyDescent="0.25">
      <c r="M12">
        <v>2.2240000000000002</v>
      </c>
      <c r="N12">
        <v>2.0609999999999999</v>
      </c>
      <c r="O12">
        <v>1.831</v>
      </c>
    </row>
    <row r="13" spans="4:16" x14ac:dyDescent="0.25">
      <c r="L13">
        <v>3.3</v>
      </c>
      <c r="M13">
        <f>M12/$L$13*1023</f>
        <v>689.44000000000017</v>
      </c>
      <c r="N13">
        <f>N12/$L$13*1023</f>
        <v>638.91</v>
      </c>
      <c r="O13">
        <f>O12/$L$13*1023</f>
        <v>567.61</v>
      </c>
    </row>
  </sheetData>
  <mergeCells count="2">
    <mergeCell ref="D5:G5"/>
    <mergeCell ref="L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Divider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G, Ananthpadmanaban</dc:creator>
  <cp:lastModifiedBy>G, Ananthpadmanaban</cp:lastModifiedBy>
  <dcterms:created xsi:type="dcterms:W3CDTF">2026-07-12T15:26:11Z</dcterms:created>
  <dcterms:modified xsi:type="dcterms:W3CDTF">2026-07-15T05:25:02Z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2026-07-12T15:31:09Z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ae4df110-4a7b-48af-8962-e1079d2a43b3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10, 0, 1, 1</vt:lpwstr>
  </property>
</Properties>
</file>