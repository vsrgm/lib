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nth\lib\Project\IOT_Home\Schematics\"/>
    </mc:Choice>
  </mc:AlternateContent>
  <xr:revisionPtr revIDLastSave="0" documentId="13_ncr:1_{B37153EB-D17D-458A-A9BA-25AE94996F2E}" xr6:coauthVersionLast="47" xr6:coauthVersionMax="47" xr10:uidLastSave="{00000000-0000-0000-0000-000000000000}"/>
  <bookViews>
    <workbookView xWindow="-120" yWindow="-120" windowWidth="29040" windowHeight="17520" xr2:uid="{F6A8C451-8886-4FD8-91AF-88CD5399D8AD}"/>
  </bookViews>
  <sheets>
    <sheet name="BOM" sheetId="1" r:id="rId1"/>
    <sheet name="Sheet1" sheetId="2" r:id="rId2"/>
  </sheets>
  <definedNames>
    <definedName name="_xlnm._FilterDatabase" localSheetId="0" hidden="1">BOM!$A$1:$K$133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65" i="1"/>
  <c r="H64" i="1"/>
  <c r="H39" i="1"/>
  <c r="H40" i="1"/>
  <c r="H41" i="1"/>
  <c r="H42" i="1"/>
  <c r="H43" i="1"/>
  <c r="H44" i="1"/>
  <c r="H45" i="1"/>
  <c r="H46" i="1"/>
  <c r="H55" i="1"/>
  <c r="H56" i="1"/>
  <c r="H57" i="1"/>
  <c r="H58" i="1"/>
  <c r="H59" i="1"/>
  <c r="H60" i="1"/>
  <c r="H61" i="1"/>
  <c r="H62" i="1"/>
  <c r="H63" i="1"/>
  <c r="H47" i="1"/>
</calcChain>
</file>

<file path=xl/sharedStrings.xml><?xml version="1.0" encoding="utf-8"?>
<sst xmlns="http://schemas.openxmlformats.org/spreadsheetml/2006/main" count="333" uniqueCount="242">
  <si>
    <t>Date</t>
  </si>
  <si>
    <t>Product Name</t>
  </si>
  <si>
    <t>Model</t>
  </si>
  <si>
    <t>HSN Code</t>
  </si>
  <si>
    <t>Quantity</t>
  </si>
  <si>
    <t>Price</t>
  </si>
  <si>
    <t>Total</t>
  </si>
  <si>
    <t>Available</t>
  </si>
  <si>
    <t>Kitchen Exhaust Fan</t>
  </si>
  <si>
    <t>DRV8833 2 Channel DC Motor Driver Module</t>
  </si>
  <si>
    <t>Active Buzzer Module 5V</t>
  </si>
  <si>
    <t>MQ2 Gas Sensor Module</t>
  </si>
  <si>
    <t>BMP280 Pressure and Temperature Sensor Module (Barometer)</t>
  </si>
  <si>
    <t>18650 Li-ion 2200mAh Rechargeable Battery Copy</t>
  </si>
  <si>
    <t>Smart Robot Car Chassis DIY Kit - 2WD Two Wheel Drive Kit</t>
  </si>
  <si>
    <t>USB 3.1 Female Socket Type-C Connector 4-Pin Breakout PCB Board</t>
  </si>
  <si>
    <t>18650 Li-ion 2200mAh Rechargeable Battery (Original)</t>
  </si>
  <si>
    <t>CD4051 Single 8-Channel Analog Multiplexer/Demultiplexer IC - DIP-16 Package</t>
  </si>
  <si>
    <t>Single Cell 18650 Li-ion Battery Holder</t>
  </si>
  <si>
    <t>ESP32 CAM WiFi Module Bluetooth with OV2640 Camera Module 2MP For Face Recognization</t>
  </si>
  <si>
    <t>EC-4974</t>
  </si>
  <si>
    <t>I2C ADS1115 16 Bit ADC 4 channel Module with Programmable Gain Amplifier</t>
  </si>
  <si>
    <t>EC-6465</t>
  </si>
  <si>
    <t>ESP32-CAM-MB MICRO USB Download Module for ESP32 CAM Development Board</t>
  </si>
  <si>
    <t>EC-24766</t>
  </si>
  <si>
    <t>TP4056 1A Li-Ion Battery Charging Board Type C Connector with Current Protection</t>
  </si>
  <si>
    <t>EC-28052</t>
  </si>
  <si>
    <t>MT3608 2A Max DC-DC Step Up Power Module Booster Power Module</t>
  </si>
  <si>
    <t>EC-4595</t>
  </si>
  <si>
    <t>PIR Motion Detector Sensor Module HC-SR501</t>
  </si>
  <si>
    <t>EC-0142</t>
  </si>
  <si>
    <t>PCF8574T I2C I/O Extension Board Module</t>
  </si>
  <si>
    <t>EC-6546</t>
  </si>
  <si>
    <t>LM7805 IC - 5V Positive Voltage Regulator IC</t>
  </si>
  <si>
    <t>EC-0075</t>
  </si>
  <si>
    <t>BC547 NPN General Purpose Transistor 45V 100mA TO-92 Package - 5 Pieces Pack</t>
  </si>
  <si>
    <t>EC-0136</t>
  </si>
  <si>
    <t>GL12 840 Points Solderless Breadboard</t>
  </si>
  <si>
    <t>EC-0160</t>
  </si>
  <si>
    <t>7 Segment Display - Common Anode - 0.56 inch - Standard Size</t>
  </si>
  <si>
    <t>EC-0173</t>
  </si>
  <si>
    <t>74LS47 BCD to 7-Segment Decoder/Driver IC (7447 IC) DIP-16 Package</t>
  </si>
  <si>
    <t>EC-0409</t>
  </si>
  <si>
    <t>DS18B20 Water Proof Temperature Sensor Probe</t>
  </si>
  <si>
    <t>EC-1265</t>
  </si>
  <si>
    <t>Single Strand Hookup Wire - 25AWG (Gauge) - Black - 5 metre</t>
  </si>
  <si>
    <t>EC-2739</t>
  </si>
  <si>
    <t>Single Strand Hookup Wire - 25AWG (Gauge) - Blue - 5 metre</t>
  </si>
  <si>
    <t>EC-2740</t>
  </si>
  <si>
    <t>Single Strand Hookup Wire - 25AWG (Gauge) - Green - 5 metre</t>
  </si>
  <si>
    <t>EC-2741</t>
  </si>
  <si>
    <t>Single Strand Hookup Wire - 25AWG (Gauge) - Red - 5 metre</t>
  </si>
  <si>
    <t>EC-2742</t>
  </si>
  <si>
    <t>Single Strand Hookup Wire - 25AWG (Gauge) - Yellow - 5 metre</t>
  </si>
  <si>
    <t>EC-2743</t>
  </si>
  <si>
    <t>Electrical PVC Insulating Tape - Black Color - 1 Piece Pack</t>
  </si>
  <si>
    <t>EC-3004</t>
  </si>
  <si>
    <t>L9110S Dual Channel H-Bridge Motor Driver Module</t>
  </si>
  <si>
    <t>EC-3186</t>
  </si>
  <si>
    <t>MC-38 Wired Door Window Sensor Magnetic Switch Home Alarm System</t>
  </si>
  <si>
    <t>EC-5306</t>
  </si>
  <si>
    <t>Quickfix Soldering Paste Flux 15gm</t>
  </si>
  <si>
    <t>EC-0114</t>
  </si>
  <si>
    <t>Push Button Switch 2 Pin - 5mm - 2 Pieces Pack</t>
  </si>
  <si>
    <t>EC-0124</t>
  </si>
  <si>
    <t>DC Power Jack (Female Adapter) - PCB Mount</t>
  </si>
  <si>
    <t>EC-0188</t>
  </si>
  <si>
    <t>74HC138 3-to-8 line Decoder/Demultiplexer IC (74138 IC) DIP-16 Package</t>
  </si>
  <si>
    <t>EC-0378</t>
  </si>
  <si>
    <t>LDR - 5mm</t>
  </si>
  <si>
    <t>EC-0414</t>
  </si>
  <si>
    <t>Solar Panel - 5V/2W</t>
  </si>
  <si>
    <t>EC-0755</t>
  </si>
  <si>
    <t>Push Button SPST ON-OFF Switch</t>
  </si>
  <si>
    <t>EC-1142</t>
  </si>
  <si>
    <t>Micro USB Cable</t>
  </si>
  <si>
    <t>EC-3020</t>
  </si>
  <si>
    <t>HLK-10M05 Hi-Link 5V 10W AC to DC Power Supply Module</t>
  </si>
  <si>
    <t>EC-4693</t>
  </si>
  <si>
    <t>0.1uF - (104) Ceramic Capacitor - 5 Pieces pack</t>
  </si>
  <si>
    <t>EC-0018</t>
  </si>
  <si>
    <t>LM324 Low Power Quad Op-Amp IC DIP-14 Package</t>
  </si>
  <si>
    <t>EC-0068</t>
  </si>
  <si>
    <t>12X12 inches Glass Epoxy Double Sided Plain Copper Clad Board (PCB)</t>
  </si>
  <si>
    <t>EC-0165</t>
  </si>
  <si>
    <t>2 Pin Screw Terminal - 2 Pieces pack</t>
  </si>
  <si>
    <t>EC-0178</t>
  </si>
  <si>
    <t>0.8mm PCB Drill bit</t>
  </si>
  <si>
    <t>EC-0285</t>
  </si>
  <si>
    <t>40 Pin Female Berg Strip - Break Away Header - Straight</t>
  </si>
  <si>
    <t>EC-0291</t>
  </si>
  <si>
    <t>FRC Cable - 10 Pin (10 Wire) - 12 inch (Flat Ribbon Cable)</t>
  </si>
  <si>
    <t>EC-0665</t>
  </si>
  <si>
    <t>FRC Cable - 16 Pin (16 Wire) - 12 inch (Flat Ribbon Cable)</t>
  </si>
  <si>
    <t>EC-0667</t>
  </si>
  <si>
    <t>100uF 16V Electrolytic Capacitor - 3 Pieces Pack</t>
  </si>
  <si>
    <t>EC-0771</t>
  </si>
  <si>
    <t>74HC151 8-Input Multiplexer IC (74151 IC) DIP-16 Package</t>
  </si>
  <si>
    <t>EC-0933</t>
  </si>
  <si>
    <t>Metal Spacer - 20mm - Female to Female Spacer for PCB - 2 Pieces Pack</t>
  </si>
  <si>
    <t>EC-0942</t>
  </si>
  <si>
    <t>Metal Spacer - 20mm - Male to Female Spacer for PCB - 2 Pieces Pack</t>
  </si>
  <si>
    <t>EC-0943</t>
  </si>
  <si>
    <t>NODEMCU - ESP8266 Wifi Development Board</t>
  </si>
  <si>
    <t>EC-1150</t>
  </si>
  <si>
    <t>7 Segment Display - Common Anode - 1 inch Size</t>
  </si>
  <si>
    <t>EC-1448</t>
  </si>
  <si>
    <t>1mm PCB Drill bit</t>
  </si>
  <si>
    <t>EC-1801</t>
  </si>
  <si>
    <t>1.5mm PCB Drill bit</t>
  </si>
  <si>
    <t>EC-1802</t>
  </si>
  <si>
    <t>32 Pin Male Berg Strip - Break Away Header - Staright</t>
  </si>
  <si>
    <t>EC-2068</t>
  </si>
  <si>
    <t>BC560 PNP General Purpose Transistor 45V 100mA TO-92 Package - 5 Pieces Pack</t>
  </si>
  <si>
    <t>EC-2357</t>
  </si>
  <si>
    <t>HLK-PM01 Hi-link - 5V 3W - AC to DC Power Supply Module</t>
  </si>
  <si>
    <t>EC-2609</t>
  </si>
  <si>
    <t>PT100-S Waterproof 1m 30mm Stainless Steel Pole Probe Temperature Sensor</t>
  </si>
  <si>
    <t>EC-4734</t>
  </si>
  <si>
    <t>10k Ohm Variable Resistor (3362 Package) - Trimpot Trimmer Potentiometer</t>
  </si>
  <si>
    <t>EC-4897</t>
  </si>
  <si>
    <t>0.8mm - PCB Drill bit</t>
  </si>
  <si>
    <t>Solder Wire -50 gm Pack</t>
  </si>
  <si>
    <t>EC-0725</t>
  </si>
  <si>
    <t>1.5mm - PCB Drill bit</t>
  </si>
  <si>
    <t>2mm - PCB Drill bit</t>
  </si>
  <si>
    <t>EC-1803</t>
  </si>
  <si>
    <t>3mm - PCB Drill bit</t>
  </si>
  <si>
    <t>EC-1805</t>
  </si>
  <si>
    <t>Water Level Sensor Float Switch - P43</t>
  </si>
  <si>
    <t>EC-2979</t>
  </si>
  <si>
    <t>16x2 (1602) Character Green Backlight LCD Display</t>
  </si>
  <si>
    <t>EC-0048</t>
  </si>
  <si>
    <t>Desoldering Pump</t>
  </si>
  <si>
    <t>EC-0111</t>
  </si>
  <si>
    <t>Multimeter Leads</t>
  </si>
  <si>
    <t>EC-0129</t>
  </si>
  <si>
    <t>Plain Copper Clad Board (PCB) - Phenolic - 12X12 inches - Single Sided</t>
  </si>
  <si>
    <t>EC-0163</t>
  </si>
  <si>
    <t>IR Transmitter LED 5mm - 2 pieces pack</t>
  </si>
  <si>
    <t>EC-0171</t>
  </si>
  <si>
    <t>PCB Etching Powder - FECL3 - Ferric-Ferrous Chloride - 50 gm pack</t>
  </si>
  <si>
    <t>EC-0278</t>
  </si>
  <si>
    <t>TSOP1838 - Infrared Sensor</t>
  </si>
  <si>
    <t>EC-0436</t>
  </si>
  <si>
    <t>DHT11 - Temprature and Humidity Sensor Module</t>
  </si>
  <si>
    <t>EC-0442</t>
  </si>
  <si>
    <t>LM335 - Temperature Sensor</t>
  </si>
  <si>
    <t>EC-0566</t>
  </si>
  <si>
    <t>9V Zinc Chloride Battery</t>
  </si>
  <si>
    <t>EC-0615</t>
  </si>
  <si>
    <t>40x2 Pin Female Berg Strip - Break Away Header Straight</t>
  </si>
  <si>
    <t>EC-0654</t>
  </si>
  <si>
    <t>IR Transmitter LED 3mm - 2 pieces pack</t>
  </si>
  <si>
    <t>EC-0747</t>
  </si>
  <si>
    <t>2 x 3.7V 18650 Lithium Polymer (Lipo) Battery Holder</t>
  </si>
  <si>
    <t>EC-0911</t>
  </si>
  <si>
    <t>I2C Module for 16x2 (1602) Character LCD</t>
  </si>
  <si>
    <t>EC-2114</t>
  </si>
  <si>
    <t>20x2 Pin Male Berg Strip - Break Away Header Straight</t>
  </si>
  <si>
    <t>EC-2193</t>
  </si>
  <si>
    <t>PL2303 - PL2303HX USB to TTL Serial UART Converter Module</t>
  </si>
  <si>
    <t>EC-2974</t>
  </si>
  <si>
    <t>1602 (16x2) LCD Display with I2C/IIC interface - Blue Backlight</t>
  </si>
  <si>
    <t>EC-3025</t>
  </si>
  <si>
    <t>4 Channel 5V Relay Module with Optocoupler</t>
  </si>
  <si>
    <t>EC-0738</t>
  </si>
  <si>
    <t>HLK-5M05 Hi-Link 5V 5W - AC to DC Power Supply Module</t>
  </si>
  <si>
    <t>EC-3194</t>
  </si>
  <si>
    <t>1 Channel 5V Relay Module without Optocoupler</t>
  </si>
  <si>
    <t>EC-4504</t>
  </si>
  <si>
    <t>Ro Waste Water Pump</t>
  </si>
  <si>
    <t>Battery Pack</t>
  </si>
  <si>
    <t>Consumeables</t>
  </si>
  <si>
    <t>Toy Car</t>
  </si>
  <si>
    <t>Quantity1</t>
  </si>
  <si>
    <t>Heat Shrink Sleeve Tube - 1mm Diameter - Red - 1 meter</t>
  </si>
  <si>
    <t>Quantity10</t>
  </si>
  <si>
    <t>CH2 Quick Cable Clamp Terminal / 2-Way Quick Spring Wire Connector Splice</t>
  </si>
  <si>
    <t>₹4.00/ea</t>
  </si>
  <si>
    <t>QIKIFY-9C8VF3(-₹4.00)</t>
  </si>
  <si>
    <t>Quantity2</t>
  </si>
  <si>
    <t>AMS1117 - 3.3V, 1A / SMD Voltage Regulator</t>
  </si>
  <si>
    <t>₹8.00/ea</t>
  </si>
  <si>
    <t>55mm Drone Propeller Blades (CW, CCW Pair)</t>
  </si>
  <si>
    <t>₹33.00/ea</t>
  </si>
  <si>
    <t>816 Magnetic Micro Coreless Drone Motor CCW (Anticlockwise)</t>
  </si>
  <si>
    <t>₹48.00/ea</t>
  </si>
  <si>
    <t>816 Magnetic Micro Coreless Drone Motor CW (Clockwise)</t>
  </si>
  <si>
    <t>Quantity4</t>
  </si>
  <si>
    <t>Small Piezoelectric Buzzer - 5V Passive Buzzer</t>
  </si>
  <si>
    <t>₹9.00/ea</t>
  </si>
  <si>
    <t>Ultrasonic Sensor Module - HC-SR04</t>
  </si>
  <si>
    <t>MQ-135 Air Quality Gas Sensor Module</t>
  </si>
  <si>
    <t>MPU6050 3-Axis Gyroscope/Accelerometer Sensor Module</t>
  </si>
  <si>
    <t>Female DC Power Supply Connector / Barrel DC Jack</t>
  </si>
  <si>
    <t>₹6.00/ea</t>
  </si>
  <si>
    <t>6mm x 0.12mm Nickel Coated Strip for 18650 Cells - 1 Meter</t>
  </si>
  <si>
    <t>DC Male Barrel Jack Power Connector with Wire</t>
  </si>
  <si>
    <t>3 Section 18650 Lithium Battery Support Bracket</t>
  </si>
  <si>
    <t>₹11.00/ea</t>
  </si>
  <si>
    <t>QIKIFY-LV0H2I(-₹13.20)</t>
  </si>
  <si>
    <t>1S 5A NMC Battery Protection Module</t>
  </si>
  <si>
    <t>C-Type Female USB Port Plug - 6-Pin SMD SMT Jack Solder Connector</t>
  </si>
  <si>
    <t>SPDT 5V PCB Mount Relay - Sugar cube 5 pin</t>
  </si>
  <si>
    <t>₹18.00/ea</t>
  </si>
  <si>
    <t>QIKIFY-DKATRA(-₹14.40)</t>
  </si>
  <si>
    <t>XL6009 DC-DC Boost Power Supply Module</t>
  </si>
  <si>
    <t>18650 5V 2.4A Lithium Battery Dual USB Output with Digital Display Charging Module</t>
  </si>
  <si>
    <t>USB Type-A Female Connector</t>
  </si>
  <si>
    <t>₹10.00/ea</t>
  </si>
  <si>
    <t>QIKIFY-LV0H2I(-₹12.00)</t>
  </si>
  <si>
    <t>Male to Female Connecting Wires / Jumper Wires (Set of 40)</t>
  </si>
  <si>
    <t>Female to Female Connecting Wires / Jumper Wires (Set of 40)</t>
  </si>
  <si>
    <t>40 Pin Straight Female Header Pins - Berg Strips</t>
  </si>
  <si>
    <t>QIKIFY-9C8VF3(-₹10.00)</t>
  </si>
  <si>
    <t>3 Pin PCB Mount Terminal Block (Screw type) - 5mm Pitch</t>
  </si>
  <si>
    <t>₹7.00/ea</t>
  </si>
  <si>
    <t>QIKIFY-9C8VF3(-₹7.00)</t>
  </si>
  <si>
    <t>LDR Sensor (Light Dependent Resistor) - 5mm</t>
  </si>
  <si>
    <t>₹5.00/ea</t>
  </si>
  <si>
    <t>QIKIFY-9C8VF3(-₹5.00)</t>
  </si>
  <si>
    <t>Quantity3</t>
  </si>
  <si>
    <t>1N4007 Diode (Pack of 5)</t>
  </si>
  <si>
    <t>Panel Mount Barrier Terminal Block - 2 Row, 12 Way, 15A</t>
  </si>
  <si>
    <t>PIR Motion Detection Sensor - HC SR501</t>
  </si>
  <si>
    <t>₹69.00/ea</t>
  </si>
  <si>
    <t>FR4 Copper Clad Plate Laminate Single Side PCB</t>
  </si>
  <si>
    <t>₹35.00/ea</t>
  </si>
  <si>
    <t>QIKIFY-LV0H2I(-₹42.00)</t>
  </si>
  <si>
    <t>Flux Core Solder Wire 18SWG (50Gms) 40/60</t>
  </si>
  <si>
    <t>Laser Diode - Laser LED Light</t>
  </si>
  <si>
    <t>40 Pin Straight Male Header Pins - Berg Strips</t>
  </si>
  <si>
    <t>MT3608 2A DC-DC Step Up (Boost) Power Module</t>
  </si>
  <si>
    <t>₹38.00/ea</t>
  </si>
  <si>
    <t>TP4056 Battery Charging Protection Module (Type C)</t>
  </si>
  <si>
    <t>₹16.00/ea</t>
  </si>
  <si>
    <t>ADS1115 16 Bit ADC I2C 4 channel Module with Programmable Gain Amplifier</t>
  </si>
  <si>
    <t>ESP32 Camera Development Board WiFi+Bluetooth Module with OV2640, OV3660</t>
  </si>
  <si>
    <t>₹675.00/ea</t>
  </si>
  <si>
    <t>816 Magnetic Micro Coreless Drone Motor CCW</t>
  </si>
  <si>
    <t>816 Magnetic Micro Coreless Drone Motor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</si>
</sst>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trike/>
      <sz val="9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 applyAlignment="1">
      <alignment vertical="center" wrapText="1"/>
    </xf>
    <xf numFmtId="0" fontId="21" fillId="0" borderId="0" xfId="42" applyAlignment="1">
      <alignment vertical="center" wrapText="1"/>
    </xf>
    <xf numFmtId="0" fontId="18" fillId="0" borderId="0" xfId="0" applyFont="1" applyAlignment="1">
      <alignment horizontal="left" vertical="center" wrapText="1" indent="1"/>
    </xf>
    <xf numFmtId="8" fontId="18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 indent="1"/>
    </xf>
    <xf numFmtId="0" fontId="19" fillId="0" borderId="0" xfId="0" applyFont="1" applyAlignment="1">
      <alignment vertical="center" wrapText="1"/>
    </xf>
    <xf numFmtId="8" fontId="20" fillId="0" borderId="0" xfId="0" applyNumberFormat="1" applyFont="1" applyAlignment="1">
      <alignment horizontal="right" vertical="center" wrapText="1"/>
    </xf>
    <xf numFmtId="0" fontId="22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eg"/><Relationship Id="rId21" Type="http://schemas.openxmlformats.org/officeDocument/2006/relationships/hyperlink" Target="https://quartzcomponents.com/products/female-dc-power-supply-connector-barrel-dc-jack?variant=32532656455815&amp;sso=silent" TargetMode="External"/><Relationship Id="rId42" Type="http://schemas.openxmlformats.org/officeDocument/2006/relationships/image" Target="../media/image21.jpeg"/><Relationship Id="rId47" Type="http://schemas.openxmlformats.org/officeDocument/2006/relationships/hyperlink" Target="https://quartzcomponents.com/products/3-pin-pcb-mount-terminal-block-screw-type?variant=37780615856312&amp;sso=silent" TargetMode="External"/><Relationship Id="rId63" Type="http://schemas.openxmlformats.org/officeDocument/2006/relationships/hyperlink" Target="https://quartzcomponents.com/products/40-pin-break-away-headers-straight-male-headers?variant=31898065633415&amp;sso=silent" TargetMode="External"/><Relationship Id="rId68" Type="http://schemas.openxmlformats.org/officeDocument/2006/relationships/image" Target="../media/image34.jpeg"/><Relationship Id="rId7" Type="http://schemas.openxmlformats.org/officeDocument/2006/relationships/hyperlink" Target="https://quartzcomponents.com/products/55mm-propellor-blades?variant=31898074448007&amp;sso=silent" TargetMode="External"/><Relationship Id="rId71" Type="http://schemas.openxmlformats.org/officeDocument/2006/relationships/hyperlink" Target="https://quartzcomponents.com/products/esp32-camera-development-board-wifi-bluetooth-with-ov2640-camera-module?variant=37646399570104&amp;sso=silent" TargetMode="External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29" Type="http://schemas.openxmlformats.org/officeDocument/2006/relationships/hyperlink" Target="https://quartzcomponents.com/products/nmc-battery-protection-module-1s-5amps-1?variant=39406633746616&amp;sso=silent" TargetMode="External"/><Relationship Id="rId11" Type="http://schemas.openxmlformats.org/officeDocument/2006/relationships/hyperlink" Target="https://quartzcomponents.com/products/816-magnetic-micro-coreless-drone-motor-cw?variant=45005004472554&amp;sso=silent" TargetMode="External"/><Relationship Id="rId24" Type="http://schemas.openxmlformats.org/officeDocument/2006/relationships/image" Target="../media/image12.jpeg"/><Relationship Id="rId32" Type="http://schemas.openxmlformats.org/officeDocument/2006/relationships/image" Target="../media/image16.jpeg"/><Relationship Id="rId37" Type="http://schemas.openxmlformats.org/officeDocument/2006/relationships/hyperlink" Target="https://quartzcomponents.com/products/18650-5v-2-4a-lithium-battery-dual-usb-output-with-digital-display-charging-module?variant=44896798834922&amp;sso=silent" TargetMode="External"/><Relationship Id="rId40" Type="http://schemas.openxmlformats.org/officeDocument/2006/relationships/image" Target="../media/image20.jpeg"/><Relationship Id="rId45" Type="http://schemas.openxmlformats.org/officeDocument/2006/relationships/hyperlink" Target="https://quartzcomponents.com/products/40-pin-straight-female-berg-strips?variant=31898065830023&amp;sso=silent" TargetMode="External"/><Relationship Id="rId53" Type="http://schemas.openxmlformats.org/officeDocument/2006/relationships/hyperlink" Target="https://quartzcomponents.com/products/panel-mount-barrier-terminal-block-2-row-12-way?variant=40656574447800&amp;sso=silent" TargetMode="External"/><Relationship Id="rId58" Type="http://schemas.openxmlformats.org/officeDocument/2006/relationships/image" Target="../media/image29.jpeg"/><Relationship Id="rId66" Type="http://schemas.openxmlformats.org/officeDocument/2006/relationships/image" Target="../media/image33.jpeg"/><Relationship Id="rId5" Type="http://schemas.openxmlformats.org/officeDocument/2006/relationships/hyperlink" Target="https://quartzcomponents.com/products/ams117-3-3v-smd-voltage-regulator-3-3v?variant=35653066752153&amp;sso=silent" TargetMode="External"/><Relationship Id="rId61" Type="http://schemas.openxmlformats.org/officeDocument/2006/relationships/hyperlink" Target="https://quartzcomponents.com/products/laser-diode-laser-led-light?variant=33798925254791&amp;sso=silent" TargetMode="External"/><Relationship Id="rId19" Type="http://schemas.openxmlformats.org/officeDocument/2006/relationships/hyperlink" Target="https://quartzcomponents.com/products/mpu6050-gyroscope-accelerometer-sensor?variant=31897777733767&amp;sso=silent" TargetMode="External"/><Relationship Id="rId14" Type="http://schemas.openxmlformats.org/officeDocument/2006/relationships/image" Target="../media/image7.jpeg"/><Relationship Id="rId22" Type="http://schemas.openxmlformats.org/officeDocument/2006/relationships/image" Target="../media/image11.jpeg"/><Relationship Id="rId27" Type="http://schemas.openxmlformats.org/officeDocument/2006/relationships/hyperlink" Target="https://quartzcomponents.com/products/3-section-18650-lithium-battery-support-bracket?variant=38008601673912&amp;sso=silent" TargetMode="External"/><Relationship Id="rId30" Type="http://schemas.openxmlformats.org/officeDocument/2006/relationships/image" Target="../media/image15.jpeg"/><Relationship Id="rId35" Type="http://schemas.openxmlformats.org/officeDocument/2006/relationships/hyperlink" Target="https://quartzcomponents.com/products/xl6009-dc-dc-boost-power-supply-module?variant=34741150417049&amp;sso=silent" TargetMode="External"/><Relationship Id="rId43" Type="http://schemas.openxmlformats.org/officeDocument/2006/relationships/hyperlink" Target="https://quartzcomponents.com/products/female-to-female-connecting-wires-jumper-wires-set-of-40?variant=45062849593578&amp;sso=silent" TargetMode="External"/><Relationship Id="rId48" Type="http://schemas.openxmlformats.org/officeDocument/2006/relationships/image" Target="../media/image24.jpeg"/><Relationship Id="rId56" Type="http://schemas.openxmlformats.org/officeDocument/2006/relationships/image" Target="../media/image28.jpeg"/><Relationship Id="rId64" Type="http://schemas.openxmlformats.org/officeDocument/2006/relationships/image" Target="../media/image32.jpeg"/><Relationship Id="rId69" Type="http://schemas.openxmlformats.org/officeDocument/2006/relationships/hyperlink" Target="https://quartzcomponents.com/products/ads1115-16-bit-adc-i2c-4-channel-module-with-programmable-gain-amplifier?variant=46124894716138&amp;sso=silent" TargetMode="External"/><Relationship Id="rId8" Type="http://schemas.openxmlformats.org/officeDocument/2006/relationships/image" Target="../media/image4.jpeg"/><Relationship Id="rId51" Type="http://schemas.openxmlformats.org/officeDocument/2006/relationships/hyperlink" Target="https://quartzcomponents.com/products/1n4004-diode-1?variant=42295941333226&amp;sso=silent" TargetMode="External"/><Relationship Id="rId72" Type="http://schemas.openxmlformats.org/officeDocument/2006/relationships/image" Target="../media/image36.jpeg"/><Relationship Id="rId3" Type="http://schemas.openxmlformats.org/officeDocument/2006/relationships/hyperlink" Target="https://quartzcomponents.com/products/ch2-quick-cable-clamp-terminal-2-way-quick-spring-wire-connector-splice?variant=44162556264682&amp;sso=silent" TargetMode="External"/><Relationship Id="rId12" Type="http://schemas.openxmlformats.org/officeDocument/2006/relationships/image" Target="../media/image6.jpeg"/><Relationship Id="rId17" Type="http://schemas.openxmlformats.org/officeDocument/2006/relationships/hyperlink" Target="https://quartzcomponents.com/products/mq-135-air-quality-gas-sensor-module?variant=31897785925767&amp;sso=silent" TargetMode="External"/><Relationship Id="rId25" Type="http://schemas.openxmlformats.org/officeDocument/2006/relationships/hyperlink" Target="https://quartzcomponents.com/products/dc-male-power-connector-dc-barrel-jack-2-1mm?variant=32557183664263&amp;sso=silent" TargetMode="External"/><Relationship Id="rId33" Type="http://schemas.openxmlformats.org/officeDocument/2006/relationships/hyperlink" Target="https://quartzcomponents.com/products/spdt-5v-pcb-relay?variant=31898040828039&amp;sso=silent" TargetMode="External"/><Relationship Id="rId38" Type="http://schemas.openxmlformats.org/officeDocument/2006/relationships/image" Target="../media/image19.jpeg"/><Relationship Id="rId46" Type="http://schemas.openxmlformats.org/officeDocument/2006/relationships/image" Target="../media/image23.jpeg"/><Relationship Id="rId59" Type="http://schemas.openxmlformats.org/officeDocument/2006/relationships/hyperlink" Target="https://quartzcomponents.com/products/flux-core-solder-wire-18swg-50gms?variant=33520319987847&amp;sso=silent" TargetMode="External"/><Relationship Id="rId67" Type="http://schemas.openxmlformats.org/officeDocument/2006/relationships/hyperlink" Target="https://quartzcomponents.com/products/tp4056-battery-charging-protection-module-type-c?variant=39545849774264&amp;sso=silent" TargetMode="External"/><Relationship Id="rId20" Type="http://schemas.openxmlformats.org/officeDocument/2006/relationships/image" Target="../media/image10.jpeg"/><Relationship Id="rId41" Type="http://schemas.openxmlformats.org/officeDocument/2006/relationships/hyperlink" Target="https://quartzcomponents.com/products/male-to-female-connecting-wires-jumper-wires-set-of-40?variant=45062852673770&amp;sso=silent" TargetMode="External"/><Relationship Id="rId54" Type="http://schemas.openxmlformats.org/officeDocument/2006/relationships/image" Target="../media/image27.jpeg"/><Relationship Id="rId62" Type="http://schemas.openxmlformats.org/officeDocument/2006/relationships/image" Target="../media/image31.jpeg"/><Relationship Id="rId70" Type="http://schemas.openxmlformats.org/officeDocument/2006/relationships/image" Target="../media/image35.png"/><Relationship Id="rId1" Type="http://schemas.openxmlformats.org/officeDocument/2006/relationships/hyperlink" Target="https://quartzcomponents.com/products/heat-shrink-tube-1mm-diameter-red-1-meter?variant=40094700142776&amp;sso=silent" TargetMode="External"/><Relationship Id="rId6" Type="http://schemas.openxmlformats.org/officeDocument/2006/relationships/image" Target="../media/image3.jpeg"/><Relationship Id="rId15" Type="http://schemas.openxmlformats.org/officeDocument/2006/relationships/hyperlink" Target="https://quartzcomponents.com/products/hc-sr04-ultrasonic-sensor-module?variant=31897769410695&amp;sso=silent" TargetMode="External"/><Relationship Id="rId23" Type="http://schemas.openxmlformats.org/officeDocument/2006/relationships/hyperlink" Target="https://quartzcomponents.com/products/6mm-x-0-12mm-nickel-coated-strip-for-18650-cells-1-meter?variant=44952887427306&amp;sso=silent" TargetMode="External"/><Relationship Id="rId28" Type="http://schemas.openxmlformats.org/officeDocument/2006/relationships/image" Target="../media/image14.jpeg"/><Relationship Id="rId36" Type="http://schemas.openxmlformats.org/officeDocument/2006/relationships/image" Target="../media/image18.jpeg"/><Relationship Id="rId49" Type="http://schemas.openxmlformats.org/officeDocument/2006/relationships/hyperlink" Target="https://quartzcomponents.com/products/ldr-light-dependent-resistor-5mm?variant=31898051543175&amp;sso=silent" TargetMode="External"/><Relationship Id="rId57" Type="http://schemas.openxmlformats.org/officeDocument/2006/relationships/hyperlink" Target="https://quartzcomponents.com/products/fr4-copper-clad-plate-laminate-single-side-pcb?variant=36123633025177&amp;sso=silent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https://quartzcomponents.com/products/c-type-female-usb-port-plug-6-pin-smd-smt-jack-solder-connector?variant=45108613841130&amp;sso=silent" TargetMode="External"/><Relationship Id="rId44" Type="http://schemas.openxmlformats.org/officeDocument/2006/relationships/image" Target="../media/image22.jpeg"/><Relationship Id="rId52" Type="http://schemas.openxmlformats.org/officeDocument/2006/relationships/image" Target="../media/image26.jpeg"/><Relationship Id="rId60" Type="http://schemas.openxmlformats.org/officeDocument/2006/relationships/image" Target="../media/image30.jpeg"/><Relationship Id="rId65" Type="http://schemas.openxmlformats.org/officeDocument/2006/relationships/hyperlink" Target="https://quartzcomponents.com/products/mt3608-2a-dc-dc-step-up-boost-power-module?variant=34741121712281&amp;sso=silent" TargetMode="External"/><Relationship Id="rId4" Type="http://schemas.openxmlformats.org/officeDocument/2006/relationships/image" Target="../media/image2.jpeg"/><Relationship Id="rId9" Type="http://schemas.openxmlformats.org/officeDocument/2006/relationships/hyperlink" Target="https://quartzcomponents.com/products/816-magnetic-micro-coreless-drone-motor-ccw-anticlockwise?variant=45005019775210&amp;sso=silent" TargetMode="External"/><Relationship Id="rId13" Type="http://schemas.openxmlformats.org/officeDocument/2006/relationships/hyperlink" Target="https://quartzcomponents.com/products/small-piezoelectric-buzzer-5v-passive-buzzer?variant=43168701284586&amp;sso=silent" TargetMode="External"/><Relationship Id="rId18" Type="http://schemas.openxmlformats.org/officeDocument/2006/relationships/image" Target="../media/image9.jpeg"/><Relationship Id="rId39" Type="http://schemas.openxmlformats.org/officeDocument/2006/relationships/hyperlink" Target="https://quartzcomponents.com/products/usb-type-a-female-connector-blue?variant=40573946691768&amp;sso=silent" TargetMode="External"/><Relationship Id="rId34" Type="http://schemas.openxmlformats.org/officeDocument/2006/relationships/image" Target="../media/image17.jpeg"/><Relationship Id="rId50" Type="http://schemas.openxmlformats.org/officeDocument/2006/relationships/image" Target="../media/image25.jpeg"/><Relationship Id="rId55" Type="http://schemas.openxmlformats.org/officeDocument/2006/relationships/hyperlink" Target="https://quartzcomponents.com/products/hc-sr501-pir-sensor?variant=31897999540359&amp;sso=silen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1219200</xdr:colOff>
      <xdr:row>2</xdr:row>
      <xdr:rowOff>628650</xdr:rowOff>
    </xdr:to>
    <xdr:pic>
      <xdr:nvPicPr>
        <xdr:cNvPr id="2" name="Picture 1" descr="Heat Shrink PVC Sleeve Tub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C8C4611-C49C-9C44-2CE5-F6458FA5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1219200</xdr:colOff>
      <xdr:row>6</xdr:row>
      <xdr:rowOff>628650</xdr:rowOff>
    </xdr:to>
    <xdr:pic>
      <xdr:nvPicPr>
        <xdr:cNvPr id="3" name="Picture 2" descr="CH2 Quick Cable Clamp Terminal 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ED15FF1-453C-9797-C69F-E2BEC1EB9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60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1219200</xdr:colOff>
      <xdr:row>13</xdr:row>
      <xdr:rowOff>628650</xdr:rowOff>
    </xdr:to>
    <xdr:pic>
      <xdr:nvPicPr>
        <xdr:cNvPr id="4" name="Picture 3" descr="AMS1117 – 3.3V, 1A / SMD Voltage Regulator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B3B51E27-ECE9-5180-B909-F3BB0AC61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1219200</xdr:colOff>
      <xdr:row>18</xdr:row>
      <xdr:rowOff>628650</xdr:rowOff>
    </xdr:to>
    <xdr:pic>
      <xdr:nvPicPr>
        <xdr:cNvPr id="5" name="Picture 4" descr="Drone Propeller Blades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9C8FE7D0-BEFF-418E-F69A-B060E600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50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1219200</xdr:colOff>
      <xdr:row>23</xdr:row>
      <xdr:rowOff>628650</xdr:rowOff>
    </xdr:to>
    <xdr:pic>
      <xdr:nvPicPr>
        <xdr:cNvPr id="6" name="Picture 5" descr="816 Magnetic Micro Coreless Drone Motor CCW 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FAE2F6AF-A60D-776E-FF8B-7825A70A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63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1219200</xdr:colOff>
      <xdr:row>28</xdr:row>
      <xdr:rowOff>628650</xdr:rowOff>
    </xdr:to>
    <xdr:pic>
      <xdr:nvPicPr>
        <xdr:cNvPr id="7" name="Picture 6" descr="816 Magnetic Micro Coreless Drone Motor CW (Clockwise)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0F9F8E44-080D-7B9C-9F53-C11531980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58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1219200</xdr:colOff>
      <xdr:row>33</xdr:row>
      <xdr:rowOff>628650</xdr:rowOff>
    </xdr:to>
    <xdr:pic>
      <xdr:nvPicPr>
        <xdr:cNvPr id="8" name="Picture 7" descr="Piezoelectric Buzzer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021EE396-4CB6-1769-B15D-0067C5857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58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1219200</xdr:colOff>
      <xdr:row>38</xdr:row>
      <xdr:rowOff>628650</xdr:rowOff>
    </xdr:to>
    <xdr:pic>
      <xdr:nvPicPr>
        <xdr:cNvPr id="9" name="Picture 8" descr="Ultrasonic Sensor Module - HC-SR04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2B7C6A47-AD3B-35C8-D150-690B29E1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932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1219200</xdr:colOff>
      <xdr:row>42</xdr:row>
      <xdr:rowOff>628650</xdr:rowOff>
    </xdr:to>
    <xdr:pic>
      <xdr:nvPicPr>
        <xdr:cNvPr id="10" name="Picture 9" descr="MQ-135 Air Quality Gas Sensor Module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CBE87CE1-312D-7330-0BBF-7559CEFD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506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1219200</xdr:colOff>
      <xdr:row>46</xdr:row>
      <xdr:rowOff>628650</xdr:rowOff>
    </xdr:to>
    <xdr:pic>
      <xdr:nvPicPr>
        <xdr:cNvPr id="11" name="Picture 10" descr="MPU6050 Gyroscope Sensor 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BF833756-AB1B-070D-AA39-7D717204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76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1219200</xdr:colOff>
      <xdr:row>50</xdr:row>
      <xdr:rowOff>628650</xdr:rowOff>
    </xdr:to>
    <xdr:pic>
      <xdr:nvPicPr>
        <xdr:cNvPr id="12" name="Picture 11" descr="Female DC Power Supply Jack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D7643856-4FE8-CCBC-4B7D-4531A6145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132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1219200</xdr:colOff>
      <xdr:row>55</xdr:row>
      <xdr:rowOff>628650</xdr:rowOff>
    </xdr:to>
    <xdr:pic>
      <xdr:nvPicPr>
        <xdr:cNvPr id="13" name="Picture 12" descr="Nickel Strip for 18650 cells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95CF0820-6752-0030-0967-0C2733FC4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897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1219200</xdr:colOff>
      <xdr:row>59</xdr:row>
      <xdr:rowOff>628650</xdr:rowOff>
    </xdr:to>
    <xdr:pic>
      <xdr:nvPicPr>
        <xdr:cNvPr id="14" name="Picture 13" descr="DC Male Power Connector with Wire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7872B66D-4D22-268B-ED6F-3924E1F97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949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1219200</xdr:colOff>
      <xdr:row>64</xdr:row>
      <xdr:rowOff>628650</xdr:rowOff>
    </xdr:to>
    <xdr:pic>
      <xdr:nvPicPr>
        <xdr:cNvPr id="15" name="Picture 14" descr="3 Section 18650 Lithium Battery Support Bracket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4F341701-7E24-D103-B866-7997275B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714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1219200</xdr:colOff>
      <xdr:row>71</xdr:row>
      <xdr:rowOff>628650</xdr:rowOff>
    </xdr:to>
    <xdr:pic>
      <xdr:nvPicPr>
        <xdr:cNvPr id="16" name="Picture 15" descr="1S 5A NMC Battery Protection Module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265DA313-D877-9BAB-1A3E-5AAED46C5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291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1219200</xdr:colOff>
      <xdr:row>76</xdr:row>
      <xdr:rowOff>628650</xdr:rowOff>
    </xdr:to>
    <xdr:pic>
      <xdr:nvPicPr>
        <xdr:cNvPr id="17" name="Picture 16" descr="C-Type Female USB Port Plug - 6-Pin SMD SMT Jack Solder Connector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E637CB50-D642-199A-8B23-20A06F58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1219200</xdr:colOff>
      <xdr:row>80</xdr:row>
      <xdr:rowOff>628650</xdr:rowOff>
    </xdr:to>
    <xdr:pic>
      <xdr:nvPicPr>
        <xdr:cNvPr id="18" name="Picture 17" descr="SPDT 5V PCB Mount Relay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27D6579B-2928-1020-277E-D35A6801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55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1219200</xdr:colOff>
      <xdr:row>87</xdr:row>
      <xdr:rowOff>628650</xdr:rowOff>
    </xdr:to>
    <xdr:pic>
      <xdr:nvPicPr>
        <xdr:cNvPr id="19" name="Picture 18" descr="XL6009 DC-DC Boost Power Supply Module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F7BD17F6-702C-E46A-8A07-CA679945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1219200</xdr:colOff>
      <xdr:row>91</xdr:row>
      <xdr:rowOff>628650</xdr:rowOff>
    </xdr:to>
    <xdr:pic>
      <xdr:nvPicPr>
        <xdr:cNvPr id="20" name="Picture 19" descr="5V 2.4A Dual USB Type-C Micro Lightning/Apple USB Power Bank Display Module&#10;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1910BF27-3D75-23CE-8686-20CB0C73E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019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1219200</xdr:colOff>
      <xdr:row>95</xdr:row>
      <xdr:rowOff>628650</xdr:rowOff>
    </xdr:to>
    <xdr:pic>
      <xdr:nvPicPr>
        <xdr:cNvPr id="21" name="Picture 20" descr="USB Type-A Female Connector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AF106604-4630-B745-AF03-5186319B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44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1219200</xdr:colOff>
      <xdr:row>102</xdr:row>
      <xdr:rowOff>628650</xdr:rowOff>
    </xdr:to>
    <xdr:pic>
      <xdr:nvPicPr>
        <xdr:cNvPr id="22" name="Picture 21" descr="Male to Female connecting wires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EB75EBA8-D548-906E-5E38-8DEC49816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647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1219200</xdr:colOff>
      <xdr:row>106</xdr:row>
      <xdr:rowOff>628650</xdr:rowOff>
    </xdr:to>
    <xdr:pic>
      <xdr:nvPicPr>
        <xdr:cNvPr id="23" name="Picture 22" descr="Female to Female Connecting Wire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008B84B6-AD91-7862-29AC-C28DD103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603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1219200</xdr:colOff>
      <xdr:row>110</xdr:row>
      <xdr:rowOff>628650</xdr:rowOff>
    </xdr:to>
    <xdr:pic>
      <xdr:nvPicPr>
        <xdr:cNvPr id="24" name="Picture 23" descr="40 Pin Straight Female Header Pins - Berg Strips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2C50C8A0-BD90-74CB-F698-799D6153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559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1219200</xdr:colOff>
      <xdr:row>117</xdr:row>
      <xdr:rowOff>628650</xdr:rowOff>
    </xdr:to>
    <xdr:pic>
      <xdr:nvPicPr>
        <xdr:cNvPr id="25" name="Picture 24" descr="3 Pin PCB Mount Terminal Block (Screw type) - 5mm Pitch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30B51FC9-C707-EF51-0190-C06065B46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849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1219200</xdr:colOff>
      <xdr:row>124</xdr:row>
      <xdr:rowOff>628650</xdr:rowOff>
    </xdr:to>
    <xdr:pic>
      <xdr:nvPicPr>
        <xdr:cNvPr id="26" name="Picture 25" descr="LDR Sensor 5mm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CF6F3421-6330-5E19-79F8-F9514B32A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1219200</xdr:colOff>
      <xdr:row>131</xdr:row>
      <xdr:rowOff>628650</xdr:rowOff>
    </xdr:to>
    <xdr:pic>
      <xdr:nvPicPr>
        <xdr:cNvPr id="27" name="Picture 26" descr="1N4001 diode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92BAD3B9-0A9A-A469-233B-367F732C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334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1219200</xdr:colOff>
      <xdr:row>136</xdr:row>
      <xdr:rowOff>628650</xdr:rowOff>
    </xdr:to>
    <xdr:pic>
      <xdr:nvPicPr>
        <xdr:cNvPr id="28" name="Picture 27" descr="Panel Mount Barrier Terminal Block - 2 Row, 12 Way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1A438B77-B72D-6E5E-CDDF-84D0ABEF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861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1219200</xdr:colOff>
      <xdr:row>140</xdr:row>
      <xdr:rowOff>628650</xdr:rowOff>
    </xdr:to>
    <xdr:pic>
      <xdr:nvPicPr>
        <xdr:cNvPr id="29" name="Picture 28" descr="HC SR501 PIR Sensor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BEF5F845-23A9-417E-1C8B-3A78A6B3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817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1219200</xdr:colOff>
      <xdr:row>145</xdr:row>
      <xdr:rowOff>628650</xdr:rowOff>
    </xdr:to>
    <xdr:pic>
      <xdr:nvPicPr>
        <xdr:cNvPr id="30" name="Picture 29" descr="FR4 Copper Clad Plate Laminate Single Side PCB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BC373958-D003-FAC8-4DE9-99F1AE947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534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1219200</xdr:colOff>
      <xdr:row>152</xdr:row>
      <xdr:rowOff>628650</xdr:rowOff>
    </xdr:to>
    <xdr:pic>
      <xdr:nvPicPr>
        <xdr:cNvPr id="31" name="Picture 30" descr="Flux Core Solder Wire 20SWG (50Gms)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9D3C41F4-C29D-4421-EF4B-7DAF796A1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920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1219200</xdr:colOff>
      <xdr:row>156</xdr:row>
      <xdr:rowOff>628650</xdr:rowOff>
    </xdr:to>
    <xdr:pic>
      <xdr:nvPicPr>
        <xdr:cNvPr id="32" name="Picture 31" descr="Laser Diode - Laser LED Light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151E3B7B-E1E9-2370-A3C6-10288111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8685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1219200</xdr:colOff>
      <xdr:row>160</xdr:row>
      <xdr:rowOff>628650</xdr:rowOff>
    </xdr:to>
    <xdr:pic>
      <xdr:nvPicPr>
        <xdr:cNvPr id="33" name="Picture 32" descr="40 Pin Straight Male Header Pins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53510A61-F26C-C054-46C1-6DC43E4E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163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1219200</xdr:colOff>
      <xdr:row>165</xdr:row>
      <xdr:rowOff>628650</xdr:rowOff>
    </xdr:to>
    <xdr:pic>
      <xdr:nvPicPr>
        <xdr:cNvPr id="34" name="Picture 33" descr="MT3608 2A DC-DC Step Up (Boost) Power Module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52C4EC9D-2E98-67D7-6B06-426ED2F5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738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1219200</xdr:colOff>
      <xdr:row>170</xdr:row>
      <xdr:rowOff>628650</xdr:rowOff>
    </xdr:to>
    <xdr:pic>
      <xdr:nvPicPr>
        <xdr:cNvPr id="35" name="Picture 34" descr="TP4056 Battery Charging Protection Module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BC64765C-73B0-4722-352F-EDA2A0DFB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646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1219200</xdr:colOff>
      <xdr:row>175</xdr:row>
      <xdr:rowOff>628650</xdr:rowOff>
    </xdr:to>
    <xdr:pic>
      <xdr:nvPicPr>
        <xdr:cNvPr id="36" name="Picture 35" descr="ADS1115 16 Bit ADC I2C 4 channel Module with Programmable Gain Amplifier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EBDFA739-86F1-B6A3-C228-F77E6865C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650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1219200</xdr:colOff>
      <xdr:row>179</xdr:row>
      <xdr:rowOff>628650</xdr:rowOff>
    </xdr:to>
    <xdr:pic>
      <xdr:nvPicPr>
        <xdr:cNvPr id="37" name="Picture 36" descr="ESP32 Camera Development Board 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4E97B4F8-C81F-1592-0FEF-33488067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988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quartzcomponents.com/products/dc-male-power-connector-dc-barrel-jack-2-1mm?variant=32557183664263&amp;sso=silent" TargetMode="External"/><Relationship Id="rId18" Type="http://schemas.openxmlformats.org/officeDocument/2006/relationships/hyperlink" Target="https://quartzcomponents.com/products/xl6009-dc-dc-boost-power-supply-module?variant=34741150417049&amp;sso=silent" TargetMode="External"/><Relationship Id="rId26" Type="http://schemas.openxmlformats.org/officeDocument/2006/relationships/hyperlink" Target="https://quartzcomponents.com/products/1n4004-diode-1?variant=42295941333226&amp;sso=silent" TargetMode="External"/><Relationship Id="rId21" Type="http://schemas.openxmlformats.org/officeDocument/2006/relationships/hyperlink" Target="https://quartzcomponents.com/products/male-to-female-connecting-wires-jumper-wires-set-of-40?variant=45062852673770&amp;sso=silent" TargetMode="External"/><Relationship Id="rId34" Type="http://schemas.openxmlformats.org/officeDocument/2006/relationships/hyperlink" Target="https://quartzcomponents.com/products/tp4056-battery-charging-protection-module-type-c?variant=39545849774264&amp;sso=silent" TargetMode="External"/><Relationship Id="rId7" Type="http://schemas.openxmlformats.org/officeDocument/2006/relationships/hyperlink" Target="https://quartzcomponents.com/products/small-piezoelectric-buzzer-5v-passive-buzzer?variant=43168701284586&amp;sso=silent" TargetMode="External"/><Relationship Id="rId12" Type="http://schemas.openxmlformats.org/officeDocument/2006/relationships/hyperlink" Target="https://quartzcomponents.com/products/6mm-x-0-12mm-nickel-coated-strip-for-18650-cells-1-meter?variant=44952887427306&amp;sso=silent" TargetMode="External"/><Relationship Id="rId17" Type="http://schemas.openxmlformats.org/officeDocument/2006/relationships/hyperlink" Target="https://quartzcomponents.com/products/spdt-5v-pcb-relay?variant=31898040828039&amp;sso=silent" TargetMode="External"/><Relationship Id="rId25" Type="http://schemas.openxmlformats.org/officeDocument/2006/relationships/hyperlink" Target="https://quartzcomponents.com/products/ldr-light-dependent-resistor-5mm?variant=31898051543175&amp;sso=silent" TargetMode="External"/><Relationship Id="rId33" Type="http://schemas.openxmlformats.org/officeDocument/2006/relationships/hyperlink" Target="https://quartzcomponents.com/products/mt3608-2a-dc-dc-step-up-boost-power-module?variant=34741121712281&amp;sso=silent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quartzcomponents.com/products/ch2-quick-cable-clamp-terminal-2-way-quick-spring-wire-connector-splice?variant=44162556264682&amp;sso=silent" TargetMode="External"/><Relationship Id="rId16" Type="http://schemas.openxmlformats.org/officeDocument/2006/relationships/hyperlink" Target="https://quartzcomponents.com/products/c-type-female-usb-port-plug-6-pin-smd-smt-jack-solder-connector?variant=45108613841130&amp;sso=silent" TargetMode="External"/><Relationship Id="rId20" Type="http://schemas.openxmlformats.org/officeDocument/2006/relationships/hyperlink" Target="https://quartzcomponents.com/products/usb-type-a-female-connector-blue?variant=40573946691768&amp;sso=silent" TargetMode="External"/><Relationship Id="rId29" Type="http://schemas.openxmlformats.org/officeDocument/2006/relationships/hyperlink" Target="https://quartzcomponents.com/products/fr4-copper-clad-plate-laminate-single-side-pcb?variant=36123633025177&amp;sso=silent" TargetMode="External"/><Relationship Id="rId1" Type="http://schemas.openxmlformats.org/officeDocument/2006/relationships/hyperlink" Target="https://quartzcomponents.com/products/heat-shrink-tube-1mm-diameter-red-1-meter?variant=40094700142776&amp;sso=silent" TargetMode="External"/><Relationship Id="rId6" Type="http://schemas.openxmlformats.org/officeDocument/2006/relationships/hyperlink" Target="https://quartzcomponents.com/products/816-magnetic-micro-coreless-drone-motor-cw?variant=45005004472554&amp;sso=silent" TargetMode="External"/><Relationship Id="rId11" Type="http://schemas.openxmlformats.org/officeDocument/2006/relationships/hyperlink" Target="https://quartzcomponents.com/products/female-dc-power-supply-connector-barrel-dc-jack?variant=32532656455815&amp;sso=silent" TargetMode="External"/><Relationship Id="rId24" Type="http://schemas.openxmlformats.org/officeDocument/2006/relationships/hyperlink" Target="https://quartzcomponents.com/products/3-pin-pcb-mount-terminal-block-screw-type?variant=37780615856312&amp;sso=silent" TargetMode="External"/><Relationship Id="rId32" Type="http://schemas.openxmlformats.org/officeDocument/2006/relationships/hyperlink" Target="https://quartzcomponents.com/products/40-pin-break-away-headers-straight-male-headers?variant=31898065633415&amp;sso=silent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quartzcomponents.com/products/816-magnetic-micro-coreless-drone-motor-ccw-anticlockwise?variant=45005019775210&amp;sso=silent" TargetMode="External"/><Relationship Id="rId15" Type="http://schemas.openxmlformats.org/officeDocument/2006/relationships/hyperlink" Target="https://quartzcomponents.com/products/nmc-battery-protection-module-1s-5amps-1?variant=39406633746616&amp;sso=silent" TargetMode="External"/><Relationship Id="rId23" Type="http://schemas.openxmlformats.org/officeDocument/2006/relationships/hyperlink" Target="https://quartzcomponents.com/products/40-pin-straight-female-berg-strips?variant=31898065830023&amp;sso=silent" TargetMode="External"/><Relationship Id="rId28" Type="http://schemas.openxmlformats.org/officeDocument/2006/relationships/hyperlink" Target="https://quartzcomponents.com/products/hc-sr501-pir-sensor?variant=31897999540359&amp;sso=silent" TargetMode="External"/><Relationship Id="rId36" Type="http://schemas.openxmlformats.org/officeDocument/2006/relationships/hyperlink" Target="https://quartzcomponents.com/products/esp32-camera-development-board-wifi-bluetooth-with-ov2640-camera-module?variant=37646399570104&amp;sso=silent" TargetMode="External"/><Relationship Id="rId10" Type="http://schemas.openxmlformats.org/officeDocument/2006/relationships/hyperlink" Target="https://quartzcomponents.com/products/mpu6050-gyroscope-accelerometer-sensor?variant=31897777733767&amp;sso=silent" TargetMode="External"/><Relationship Id="rId19" Type="http://schemas.openxmlformats.org/officeDocument/2006/relationships/hyperlink" Target="https://quartzcomponents.com/products/18650-5v-2-4a-lithium-battery-dual-usb-output-with-digital-display-charging-module?variant=44896798834922&amp;sso=silent" TargetMode="External"/><Relationship Id="rId31" Type="http://schemas.openxmlformats.org/officeDocument/2006/relationships/hyperlink" Target="https://quartzcomponents.com/products/laser-diode-laser-led-light?variant=33798925254791&amp;sso=silent" TargetMode="External"/><Relationship Id="rId4" Type="http://schemas.openxmlformats.org/officeDocument/2006/relationships/hyperlink" Target="https://quartzcomponents.com/products/55mm-propellor-blades?variant=31898074448007&amp;sso=silent" TargetMode="External"/><Relationship Id="rId9" Type="http://schemas.openxmlformats.org/officeDocument/2006/relationships/hyperlink" Target="https://quartzcomponents.com/products/mq-135-air-quality-gas-sensor-module?variant=31897785925767&amp;sso=silent" TargetMode="External"/><Relationship Id="rId14" Type="http://schemas.openxmlformats.org/officeDocument/2006/relationships/hyperlink" Target="https://quartzcomponents.com/products/3-section-18650-lithium-battery-support-bracket?variant=38008601673912&amp;sso=silent" TargetMode="External"/><Relationship Id="rId22" Type="http://schemas.openxmlformats.org/officeDocument/2006/relationships/hyperlink" Target="https://quartzcomponents.com/products/female-to-female-connecting-wires-jumper-wires-set-of-40?variant=45062849593578&amp;sso=silent" TargetMode="External"/><Relationship Id="rId27" Type="http://schemas.openxmlformats.org/officeDocument/2006/relationships/hyperlink" Target="https://quartzcomponents.com/products/panel-mount-barrier-terminal-block-2-row-12-way?variant=40656574447800&amp;sso=silent" TargetMode="External"/><Relationship Id="rId30" Type="http://schemas.openxmlformats.org/officeDocument/2006/relationships/hyperlink" Target="https://quartzcomponents.com/products/flux-core-solder-wire-18swg-50gms?variant=33520319987847&amp;sso=silent" TargetMode="External"/><Relationship Id="rId35" Type="http://schemas.openxmlformats.org/officeDocument/2006/relationships/hyperlink" Target="https://quartzcomponents.com/products/ads1115-16-bit-adc-i2c-4-channel-module-with-programmable-gain-amplifier?variant=46124894716138&amp;sso=silent" TargetMode="External"/><Relationship Id="rId8" Type="http://schemas.openxmlformats.org/officeDocument/2006/relationships/hyperlink" Target="https://quartzcomponents.com/products/hc-sr04-ultrasonic-sensor-module?variant=31897769410695&amp;sso=silent" TargetMode="External"/><Relationship Id="rId3" Type="http://schemas.openxmlformats.org/officeDocument/2006/relationships/hyperlink" Target="https://quartzcomponents.com/products/ams117-3-3v-smd-voltage-regulator-3-3v?variant=35653066752153&amp;sso=sil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3AD8-B007-4F3B-8E35-97B9262A2F43}">
  <dimension ref="A1:M133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13.140625" customWidth="1"/>
    <col min="2" max="2" width="88" customWidth="1"/>
    <col min="11" max="11" width="24.85546875" customWidth="1"/>
    <col min="12" max="12" width="26.28515625" customWidth="1"/>
    <col min="13" max="13" width="2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173</v>
      </c>
      <c r="J1" t="s">
        <v>174</v>
      </c>
      <c r="K1" t="s">
        <v>8</v>
      </c>
      <c r="L1" t="s">
        <v>171</v>
      </c>
      <c r="M1" t="s">
        <v>172</v>
      </c>
    </row>
    <row r="2" spans="1:13" x14ac:dyDescent="0.25">
      <c r="A2" s="1">
        <v>46264</v>
      </c>
      <c r="B2" s="10" t="s">
        <v>176</v>
      </c>
      <c r="E2" s="10">
        <v>1</v>
      </c>
      <c r="F2" s="10">
        <v>8</v>
      </c>
      <c r="G2">
        <f t="shared" ref="G2:G6" si="0">E2*F2</f>
        <v>8</v>
      </c>
      <c r="H2">
        <f t="shared" ref="H2:H36" si="1">E2-SUM(I2:AB2)</f>
        <v>1</v>
      </c>
    </row>
    <row r="3" spans="1:13" x14ac:dyDescent="0.25">
      <c r="A3" s="1">
        <v>46264</v>
      </c>
      <c r="B3" s="10" t="s">
        <v>178</v>
      </c>
      <c r="E3" s="10">
        <v>10</v>
      </c>
      <c r="F3" s="10">
        <v>4</v>
      </c>
      <c r="G3">
        <f t="shared" si="0"/>
        <v>40</v>
      </c>
      <c r="H3">
        <f t="shared" si="1"/>
        <v>10</v>
      </c>
    </row>
    <row r="4" spans="1:13" x14ac:dyDescent="0.25">
      <c r="A4" s="1">
        <v>46264</v>
      </c>
      <c r="B4" s="10" t="s">
        <v>182</v>
      </c>
      <c r="E4" s="10">
        <v>2</v>
      </c>
      <c r="F4" s="10">
        <v>8</v>
      </c>
      <c r="G4">
        <f t="shared" si="0"/>
        <v>16</v>
      </c>
      <c r="H4">
        <f t="shared" si="1"/>
        <v>2</v>
      </c>
    </row>
    <row r="5" spans="1:13" x14ac:dyDescent="0.25">
      <c r="A5" s="1">
        <v>46264</v>
      </c>
      <c r="B5" s="10" t="s">
        <v>184</v>
      </c>
      <c r="E5" s="10">
        <v>2</v>
      </c>
      <c r="F5" s="10">
        <v>33</v>
      </c>
      <c r="G5">
        <f t="shared" si="0"/>
        <v>66</v>
      </c>
      <c r="H5">
        <f t="shared" si="1"/>
        <v>2</v>
      </c>
    </row>
    <row r="6" spans="1:13" x14ac:dyDescent="0.25">
      <c r="A6" s="1">
        <v>46264</v>
      </c>
      <c r="B6" s="10" t="s">
        <v>240</v>
      </c>
      <c r="E6" s="10">
        <v>2</v>
      </c>
      <c r="F6" s="10">
        <v>48</v>
      </c>
      <c r="G6">
        <f t="shared" si="0"/>
        <v>96</v>
      </c>
      <c r="H6">
        <f t="shared" si="1"/>
        <v>2</v>
      </c>
    </row>
    <row r="7" spans="1:13" x14ac:dyDescent="0.25">
      <c r="A7" s="1">
        <v>46264</v>
      </c>
      <c r="B7" s="10" t="s">
        <v>241</v>
      </c>
      <c r="E7" s="10">
        <v>2</v>
      </c>
      <c r="F7" s="10">
        <v>48</v>
      </c>
      <c r="G7">
        <f t="shared" ref="G7:G36" si="2">E7*F7</f>
        <v>96</v>
      </c>
      <c r="H7">
        <f t="shared" si="1"/>
        <v>2</v>
      </c>
    </row>
    <row r="8" spans="1:13" x14ac:dyDescent="0.25">
      <c r="A8" s="1">
        <v>46264</v>
      </c>
      <c r="B8" s="10" t="s">
        <v>190</v>
      </c>
      <c r="E8" s="10">
        <v>4</v>
      </c>
      <c r="F8" s="10">
        <v>9</v>
      </c>
      <c r="G8">
        <f t="shared" si="2"/>
        <v>36</v>
      </c>
      <c r="H8">
        <f t="shared" si="1"/>
        <v>4</v>
      </c>
    </row>
    <row r="9" spans="1:13" x14ac:dyDescent="0.25">
      <c r="A9" s="1">
        <v>46264</v>
      </c>
      <c r="B9" s="10" t="s">
        <v>192</v>
      </c>
      <c r="E9" s="10">
        <v>1</v>
      </c>
      <c r="F9" s="10">
        <v>72</v>
      </c>
      <c r="G9">
        <f t="shared" si="2"/>
        <v>72</v>
      </c>
      <c r="H9">
        <f t="shared" si="1"/>
        <v>1</v>
      </c>
    </row>
    <row r="10" spans="1:13" x14ac:dyDescent="0.25">
      <c r="A10" s="1">
        <v>46264</v>
      </c>
      <c r="B10" s="10" t="s">
        <v>193</v>
      </c>
      <c r="E10" s="10">
        <v>1</v>
      </c>
      <c r="F10" s="10">
        <v>96</v>
      </c>
      <c r="G10">
        <f t="shared" si="2"/>
        <v>96</v>
      </c>
      <c r="H10">
        <f t="shared" si="1"/>
        <v>1</v>
      </c>
    </row>
    <row r="11" spans="1:13" x14ac:dyDescent="0.25">
      <c r="A11" s="1">
        <v>46264</v>
      </c>
      <c r="B11" s="10" t="s">
        <v>194</v>
      </c>
      <c r="E11" s="10">
        <v>1</v>
      </c>
      <c r="F11" s="10">
        <v>154</v>
      </c>
      <c r="G11">
        <f t="shared" si="2"/>
        <v>154</v>
      </c>
      <c r="H11">
        <f t="shared" si="1"/>
        <v>1</v>
      </c>
    </row>
    <row r="12" spans="1:13" x14ac:dyDescent="0.25">
      <c r="A12" s="1">
        <v>46264</v>
      </c>
      <c r="B12" s="10" t="s">
        <v>195</v>
      </c>
      <c r="E12" s="10">
        <v>2</v>
      </c>
      <c r="F12" s="10">
        <v>6</v>
      </c>
      <c r="G12">
        <f t="shared" si="2"/>
        <v>12</v>
      </c>
      <c r="H12">
        <f t="shared" si="1"/>
        <v>2</v>
      </c>
    </row>
    <row r="13" spans="1:13" x14ac:dyDescent="0.25">
      <c r="A13" s="1">
        <v>46264</v>
      </c>
      <c r="B13" s="10" t="s">
        <v>197</v>
      </c>
      <c r="E13" s="10">
        <v>1</v>
      </c>
      <c r="F13" s="10">
        <v>13</v>
      </c>
      <c r="G13">
        <f t="shared" si="2"/>
        <v>13</v>
      </c>
      <c r="H13">
        <f t="shared" si="1"/>
        <v>1</v>
      </c>
    </row>
    <row r="14" spans="1:13" x14ac:dyDescent="0.25">
      <c r="A14" s="1">
        <v>46264</v>
      </c>
      <c r="B14" s="10" t="s">
        <v>198</v>
      </c>
      <c r="E14" s="10">
        <v>2</v>
      </c>
      <c r="F14" s="10">
        <v>9</v>
      </c>
      <c r="G14">
        <f t="shared" si="2"/>
        <v>18</v>
      </c>
      <c r="H14">
        <f t="shared" si="1"/>
        <v>2</v>
      </c>
    </row>
    <row r="15" spans="1:13" x14ac:dyDescent="0.25">
      <c r="A15" s="1">
        <v>46264</v>
      </c>
      <c r="B15" s="10" t="s">
        <v>199</v>
      </c>
      <c r="E15" s="10">
        <v>10</v>
      </c>
      <c r="F15" s="10">
        <v>11</v>
      </c>
      <c r="G15">
        <f t="shared" si="2"/>
        <v>110</v>
      </c>
      <c r="H15">
        <f t="shared" si="1"/>
        <v>10</v>
      </c>
    </row>
    <row r="16" spans="1:13" x14ac:dyDescent="0.25">
      <c r="A16" s="1">
        <v>46264</v>
      </c>
      <c r="B16" s="10" t="s">
        <v>202</v>
      </c>
      <c r="E16" s="10">
        <v>2</v>
      </c>
      <c r="F16" s="10">
        <v>33</v>
      </c>
      <c r="G16">
        <f t="shared" si="2"/>
        <v>66</v>
      </c>
      <c r="H16">
        <f t="shared" si="1"/>
        <v>2</v>
      </c>
    </row>
    <row r="17" spans="1:8" x14ac:dyDescent="0.25">
      <c r="A17" s="1">
        <v>46264</v>
      </c>
      <c r="B17" s="10" t="s">
        <v>203</v>
      </c>
      <c r="E17" s="10">
        <v>1</v>
      </c>
      <c r="F17" s="10">
        <v>5</v>
      </c>
      <c r="G17">
        <f t="shared" si="2"/>
        <v>5</v>
      </c>
      <c r="H17">
        <f t="shared" si="1"/>
        <v>1</v>
      </c>
    </row>
    <row r="18" spans="1:8" x14ac:dyDescent="0.25">
      <c r="A18" s="1">
        <v>46264</v>
      </c>
      <c r="B18" s="10" t="s">
        <v>204</v>
      </c>
      <c r="E18" s="10">
        <v>10</v>
      </c>
      <c r="F18" s="10">
        <v>18</v>
      </c>
      <c r="G18">
        <f t="shared" si="2"/>
        <v>180</v>
      </c>
      <c r="H18">
        <f t="shared" si="1"/>
        <v>10</v>
      </c>
    </row>
    <row r="19" spans="1:8" x14ac:dyDescent="0.25">
      <c r="A19" s="1">
        <v>46264</v>
      </c>
      <c r="B19" s="10" t="s">
        <v>207</v>
      </c>
      <c r="E19" s="10">
        <v>1</v>
      </c>
      <c r="F19" s="10">
        <v>59</v>
      </c>
      <c r="G19">
        <f t="shared" si="2"/>
        <v>59</v>
      </c>
      <c r="H19">
        <f t="shared" si="1"/>
        <v>1</v>
      </c>
    </row>
    <row r="20" spans="1:8" x14ac:dyDescent="0.25">
      <c r="A20" s="1">
        <v>46264</v>
      </c>
      <c r="B20" s="10" t="s">
        <v>208</v>
      </c>
      <c r="E20" s="10">
        <v>1</v>
      </c>
      <c r="F20" s="10">
        <v>157</v>
      </c>
      <c r="G20">
        <f t="shared" si="2"/>
        <v>157</v>
      </c>
      <c r="H20">
        <f t="shared" si="1"/>
        <v>1</v>
      </c>
    </row>
    <row r="21" spans="1:8" x14ac:dyDescent="0.25">
      <c r="A21" s="1">
        <v>46264</v>
      </c>
      <c r="B21" s="10" t="s">
        <v>209</v>
      </c>
      <c r="E21" s="10">
        <v>10</v>
      </c>
      <c r="F21" s="10">
        <v>10</v>
      </c>
      <c r="G21">
        <f t="shared" si="2"/>
        <v>100</v>
      </c>
      <c r="H21">
        <f t="shared" si="1"/>
        <v>10</v>
      </c>
    </row>
    <row r="22" spans="1:8" x14ac:dyDescent="0.25">
      <c r="A22" s="1">
        <v>46264</v>
      </c>
      <c r="B22" s="10" t="s">
        <v>212</v>
      </c>
      <c r="E22" s="10">
        <v>1</v>
      </c>
      <c r="F22" s="10">
        <v>51</v>
      </c>
      <c r="G22">
        <f t="shared" si="2"/>
        <v>51</v>
      </c>
      <c r="H22">
        <f t="shared" si="1"/>
        <v>1</v>
      </c>
    </row>
    <row r="23" spans="1:8" x14ac:dyDescent="0.25">
      <c r="A23" s="1">
        <v>46264</v>
      </c>
      <c r="B23" s="10" t="s">
        <v>213</v>
      </c>
      <c r="E23" s="10">
        <v>1</v>
      </c>
      <c r="F23" s="10">
        <v>50</v>
      </c>
      <c r="G23">
        <f t="shared" si="2"/>
        <v>50</v>
      </c>
      <c r="H23">
        <f t="shared" si="1"/>
        <v>1</v>
      </c>
    </row>
    <row r="24" spans="1:8" x14ac:dyDescent="0.25">
      <c r="A24" s="1">
        <v>46264</v>
      </c>
      <c r="B24" s="10" t="s">
        <v>214</v>
      </c>
      <c r="E24" s="10">
        <v>10</v>
      </c>
      <c r="F24" s="10">
        <v>10</v>
      </c>
      <c r="G24">
        <f t="shared" si="2"/>
        <v>100</v>
      </c>
      <c r="H24">
        <f t="shared" si="1"/>
        <v>10</v>
      </c>
    </row>
    <row r="25" spans="1:8" x14ac:dyDescent="0.25">
      <c r="A25" s="1">
        <v>46264</v>
      </c>
      <c r="B25" s="10" t="s">
        <v>216</v>
      </c>
      <c r="E25" s="10">
        <v>10</v>
      </c>
      <c r="F25" s="10">
        <v>7</v>
      </c>
      <c r="G25">
        <f t="shared" si="2"/>
        <v>70</v>
      </c>
      <c r="H25">
        <f t="shared" si="1"/>
        <v>10</v>
      </c>
    </row>
    <row r="26" spans="1:8" x14ac:dyDescent="0.25">
      <c r="A26" s="1">
        <v>46264</v>
      </c>
      <c r="B26" s="10" t="s">
        <v>219</v>
      </c>
      <c r="E26" s="10">
        <v>10</v>
      </c>
      <c r="F26" s="10">
        <v>5</v>
      </c>
      <c r="G26">
        <f t="shared" si="2"/>
        <v>50</v>
      </c>
      <c r="H26">
        <f t="shared" si="1"/>
        <v>10</v>
      </c>
    </row>
    <row r="27" spans="1:8" x14ac:dyDescent="0.25">
      <c r="A27" s="1">
        <v>46264</v>
      </c>
      <c r="B27" s="10" t="s">
        <v>223</v>
      </c>
      <c r="E27" s="10">
        <v>3</v>
      </c>
      <c r="F27" s="10">
        <v>10</v>
      </c>
      <c r="G27">
        <f t="shared" si="2"/>
        <v>30</v>
      </c>
      <c r="H27">
        <f t="shared" si="1"/>
        <v>3</v>
      </c>
    </row>
    <row r="28" spans="1:8" x14ac:dyDescent="0.25">
      <c r="A28" s="1">
        <v>46264</v>
      </c>
      <c r="B28" s="10" t="s">
        <v>224</v>
      </c>
      <c r="E28" s="10">
        <v>1</v>
      </c>
      <c r="F28" s="10">
        <v>43</v>
      </c>
      <c r="G28">
        <f t="shared" si="2"/>
        <v>43</v>
      </c>
      <c r="H28">
        <f t="shared" si="1"/>
        <v>1</v>
      </c>
    </row>
    <row r="29" spans="1:8" x14ac:dyDescent="0.25">
      <c r="A29" s="1">
        <v>46264</v>
      </c>
      <c r="B29" s="10" t="s">
        <v>225</v>
      </c>
      <c r="E29" s="10">
        <v>2</v>
      </c>
      <c r="F29" s="10">
        <v>69</v>
      </c>
      <c r="G29">
        <f t="shared" si="2"/>
        <v>138</v>
      </c>
      <c r="H29">
        <f t="shared" si="1"/>
        <v>2</v>
      </c>
    </row>
    <row r="30" spans="1:8" x14ac:dyDescent="0.25">
      <c r="A30" s="1">
        <v>46264</v>
      </c>
      <c r="B30" s="10" t="s">
        <v>227</v>
      </c>
      <c r="E30" s="10">
        <v>10</v>
      </c>
      <c r="F30" s="10">
        <v>35</v>
      </c>
      <c r="G30">
        <f t="shared" si="2"/>
        <v>350</v>
      </c>
      <c r="H30">
        <f t="shared" si="1"/>
        <v>10</v>
      </c>
    </row>
    <row r="31" spans="1:8" x14ac:dyDescent="0.25">
      <c r="A31" s="1">
        <v>46264</v>
      </c>
      <c r="B31" s="10" t="s">
        <v>230</v>
      </c>
      <c r="E31" s="10">
        <v>1</v>
      </c>
      <c r="F31" s="10">
        <v>170</v>
      </c>
      <c r="G31">
        <f t="shared" si="2"/>
        <v>170</v>
      </c>
      <c r="H31">
        <f t="shared" si="1"/>
        <v>1</v>
      </c>
    </row>
    <row r="32" spans="1:8" x14ac:dyDescent="0.25">
      <c r="A32" s="1">
        <v>46264</v>
      </c>
      <c r="B32" s="10" t="s">
        <v>231</v>
      </c>
      <c r="E32" s="10">
        <v>1</v>
      </c>
      <c r="F32" s="10">
        <v>17</v>
      </c>
      <c r="G32">
        <f t="shared" si="2"/>
        <v>17</v>
      </c>
      <c r="H32">
        <f t="shared" si="1"/>
        <v>1</v>
      </c>
    </row>
    <row r="33" spans="1:13" x14ac:dyDescent="0.25">
      <c r="A33" s="1">
        <v>46264</v>
      </c>
      <c r="B33" s="10" t="s">
        <v>232</v>
      </c>
      <c r="E33" s="10">
        <v>2</v>
      </c>
      <c r="F33" s="10">
        <v>7</v>
      </c>
      <c r="G33">
        <f t="shared" si="2"/>
        <v>14</v>
      </c>
      <c r="H33">
        <f t="shared" si="1"/>
        <v>2</v>
      </c>
    </row>
    <row r="34" spans="1:13" x14ac:dyDescent="0.25">
      <c r="A34" s="1">
        <v>46264</v>
      </c>
      <c r="B34" s="10" t="s">
        <v>233</v>
      </c>
      <c r="E34" s="10">
        <v>2</v>
      </c>
      <c r="F34" s="10">
        <v>38</v>
      </c>
      <c r="G34">
        <f t="shared" si="2"/>
        <v>76</v>
      </c>
      <c r="H34">
        <f t="shared" si="1"/>
        <v>2</v>
      </c>
    </row>
    <row r="35" spans="1:13" x14ac:dyDescent="0.25">
      <c r="A35" s="1">
        <v>46264</v>
      </c>
      <c r="B35" s="10" t="s">
        <v>235</v>
      </c>
      <c r="E35" s="10">
        <v>2</v>
      </c>
      <c r="F35" s="10">
        <v>16</v>
      </c>
      <c r="G35">
        <f t="shared" si="2"/>
        <v>32</v>
      </c>
      <c r="H35">
        <f t="shared" si="1"/>
        <v>2</v>
      </c>
    </row>
    <row r="36" spans="1:13" x14ac:dyDescent="0.25">
      <c r="A36" s="1">
        <v>46264</v>
      </c>
      <c r="B36" s="10" t="s">
        <v>237</v>
      </c>
      <c r="E36" s="10">
        <v>1</v>
      </c>
      <c r="F36" s="10">
        <v>125</v>
      </c>
      <c r="G36">
        <f t="shared" si="2"/>
        <v>125</v>
      </c>
      <c r="H36">
        <f t="shared" si="1"/>
        <v>1</v>
      </c>
    </row>
    <row r="37" spans="1:13" x14ac:dyDescent="0.25">
      <c r="A37" s="1">
        <v>46264</v>
      </c>
      <c r="B37" s="10" t="s">
        <v>238</v>
      </c>
      <c r="E37" s="10">
        <v>2</v>
      </c>
      <c r="F37" s="10">
        <v>675</v>
      </c>
      <c r="G37">
        <f>E37*F37</f>
        <v>1350</v>
      </c>
      <c r="H37">
        <f t="shared" ref="H37:H46" si="3">E37-SUM(I37:AB37)</f>
        <v>2</v>
      </c>
    </row>
    <row r="38" spans="1:13" x14ac:dyDescent="0.25">
      <c r="A38" s="1">
        <v>46222</v>
      </c>
      <c r="B38" t="s">
        <v>9</v>
      </c>
      <c r="E38">
        <v>1</v>
      </c>
      <c r="G38">
        <v>63</v>
      </c>
      <c r="H38">
        <f t="shared" si="3"/>
        <v>1</v>
      </c>
    </row>
    <row r="39" spans="1:13" x14ac:dyDescent="0.25">
      <c r="A39" s="1">
        <v>46222</v>
      </c>
      <c r="B39" t="s">
        <v>10</v>
      </c>
      <c r="E39">
        <v>1</v>
      </c>
      <c r="G39">
        <v>27</v>
      </c>
      <c r="H39">
        <f t="shared" si="3"/>
        <v>0</v>
      </c>
      <c r="K39">
        <v>1</v>
      </c>
    </row>
    <row r="40" spans="1:13" x14ac:dyDescent="0.25">
      <c r="A40" s="1">
        <v>46222</v>
      </c>
      <c r="B40" t="s">
        <v>11</v>
      </c>
      <c r="E40">
        <v>1</v>
      </c>
      <c r="G40">
        <v>88</v>
      </c>
      <c r="H40">
        <f t="shared" si="3"/>
        <v>0</v>
      </c>
      <c r="K40">
        <v>1</v>
      </c>
    </row>
    <row r="41" spans="1:13" x14ac:dyDescent="0.25">
      <c r="A41" s="1">
        <v>46222</v>
      </c>
      <c r="B41" t="s">
        <v>12</v>
      </c>
      <c r="E41">
        <v>2</v>
      </c>
      <c r="G41">
        <v>66</v>
      </c>
      <c r="H41">
        <f t="shared" si="3"/>
        <v>2</v>
      </c>
    </row>
    <row r="42" spans="1:13" x14ac:dyDescent="0.25">
      <c r="A42" s="1">
        <v>46222</v>
      </c>
      <c r="B42" t="s">
        <v>13</v>
      </c>
      <c r="E42">
        <v>4</v>
      </c>
      <c r="G42">
        <v>196</v>
      </c>
      <c r="H42">
        <f t="shared" si="3"/>
        <v>0</v>
      </c>
      <c r="M42">
        <v>4</v>
      </c>
    </row>
    <row r="43" spans="1:13" x14ac:dyDescent="0.25">
      <c r="A43" s="1">
        <v>46222</v>
      </c>
      <c r="B43" t="s">
        <v>14</v>
      </c>
      <c r="E43">
        <v>1</v>
      </c>
      <c r="G43">
        <v>268</v>
      </c>
      <c r="H43">
        <f t="shared" si="3"/>
        <v>1</v>
      </c>
    </row>
    <row r="44" spans="1:13" x14ac:dyDescent="0.25">
      <c r="A44" s="1">
        <v>46222</v>
      </c>
      <c r="B44" t="s">
        <v>15</v>
      </c>
      <c r="E44">
        <v>2</v>
      </c>
      <c r="G44">
        <v>46</v>
      </c>
      <c r="H44">
        <f t="shared" si="3"/>
        <v>2</v>
      </c>
    </row>
    <row r="45" spans="1:13" x14ac:dyDescent="0.25">
      <c r="A45" s="1">
        <v>46222</v>
      </c>
      <c r="B45" t="s">
        <v>16</v>
      </c>
      <c r="E45">
        <v>4</v>
      </c>
      <c r="G45">
        <v>352</v>
      </c>
      <c r="H45">
        <f t="shared" si="3"/>
        <v>4</v>
      </c>
    </row>
    <row r="46" spans="1:13" x14ac:dyDescent="0.25">
      <c r="A46" s="1">
        <v>46222</v>
      </c>
      <c r="B46" t="s">
        <v>17</v>
      </c>
      <c r="E46">
        <v>2</v>
      </c>
      <c r="G46">
        <v>22</v>
      </c>
      <c r="H46">
        <f t="shared" si="3"/>
        <v>2</v>
      </c>
    </row>
    <row r="47" spans="1:13" x14ac:dyDescent="0.25">
      <c r="A47" s="1">
        <v>46222</v>
      </c>
      <c r="B47" t="s">
        <v>18</v>
      </c>
      <c r="E47">
        <v>4</v>
      </c>
      <c r="G47">
        <v>96</v>
      </c>
      <c r="H47">
        <f>E47-SUM(K47:AB47)</f>
        <v>0</v>
      </c>
      <c r="M47">
        <v>4</v>
      </c>
    </row>
    <row r="48" spans="1:13" x14ac:dyDescent="0.25">
      <c r="A48" s="1">
        <v>46222</v>
      </c>
      <c r="B48" t="s">
        <v>19</v>
      </c>
      <c r="C48" t="s">
        <v>20</v>
      </c>
      <c r="E48">
        <v>3</v>
      </c>
      <c r="F48">
        <v>499</v>
      </c>
      <c r="G48" s="2">
        <v>1497</v>
      </c>
      <c r="H48">
        <v>0</v>
      </c>
    </row>
    <row r="49" spans="1:8" x14ac:dyDescent="0.25">
      <c r="A49" s="1">
        <v>46222</v>
      </c>
      <c r="B49" t="s">
        <v>21</v>
      </c>
      <c r="C49" t="s">
        <v>22</v>
      </c>
      <c r="E49">
        <v>1</v>
      </c>
      <c r="F49">
        <v>145</v>
      </c>
      <c r="G49">
        <v>145</v>
      </c>
      <c r="H49">
        <v>0</v>
      </c>
    </row>
    <row r="50" spans="1:8" x14ac:dyDescent="0.25">
      <c r="A50" s="1">
        <v>46222</v>
      </c>
      <c r="B50" t="s">
        <v>23</v>
      </c>
      <c r="C50" t="s">
        <v>24</v>
      </c>
      <c r="E50">
        <v>1</v>
      </c>
      <c r="F50">
        <v>84</v>
      </c>
      <c r="G50">
        <v>84</v>
      </c>
      <c r="H50">
        <v>0</v>
      </c>
    </row>
    <row r="51" spans="1:8" x14ac:dyDescent="0.25">
      <c r="A51" s="1">
        <v>46222</v>
      </c>
      <c r="B51" t="s">
        <v>25</v>
      </c>
      <c r="C51" t="s">
        <v>26</v>
      </c>
      <c r="E51">
        <v>2</v>
      </c>
      <c r="F51">
        <v>16</v>
      </c>
      <c r="G51">
        <v>32</v>
      </c>
      <c r="H51">
        <v>0</v>
      </c>
    </row>
    <row r="52" spans="1:8" x14ac:dyDescent="0.25">
      <c r="A52" s="1">
        <v>46222</v>
      </c>
      <c r="B52" t="s">
        <v>27</v>
      </c>
      <c r="C52" t="s">
        <v>28</v>
      </c>
      <c r="E52">
        <v>3</v>
      </c>
      <c r="F52">
        <v>34</v>
      </c>
      <c r="G52">
        <v>102</v>
      </c>
      <c r="H52">
        <v>0</v>
      </c>
    </row>
    <row r="53" spans="1:8" x14ac:dyDescent="0.25">
      <c r="A53" s="1">
        <v>46222</v>
      </c>
      <c r="B53" t="s">
        <v>29</v>
      </c>
      <c r="C53" t="s">
        <v>30</v>
      </c>
      <c r="E53">
        <v>2</v>
      </c>
      <c r="F53">
        <v>59</v>
      </c>
      <c r="G53">
        <v>118</v>
      </c>
      <c r="H53">
        <v>0</v>
      </c>
    </row>
    <row r="54" spans="1:8" x14ac:dyDescent="0.25">
      <c r="A54" s="1">
        <v>46222</v>
      </c>
      <c r="B54" t="s">
        <v>31</v>
      </c>
      <c r="C54" t="s">
        <v>32</v>
      </c>
      <c r="E54">
        <v>3</v>
      </c>
      <c r="F54">
        <v>59</v>
      </c>
      <c r="G54">
        <v>177</v>
      </c>
      <c r="H54">
        <v>0</v>
      </c>
    </row>
    <row r="55" spans="1:8" x14ac:dyDescent="0.25">
      <c r="B55" t="s">
        <v>33</v>
      </c>
      <c r="C55" t="s">
        <v>34</v>
      </c>
      <c r="D55">
        <v>85423100</v>
      </c>
      <c r="E55">
        <v>15</v>
      </c>
      <c r="F55">
        <v>9</v>
      </c>
      <c r="G55">
        <v>135</v>
      </c>
      <c r="H55">
        <f t="shared" ref="H55:H65" si="4">E55-SUM(I55:AB55)</f>
        <v>15</v>
      </c>
    </row>
    <row r="56" spans="1:8" x14ac:dyDescent="0.25">
      <c r="B56" t="s">
        <v>35</v>
      </c>
      <c r="C56" t="s">
        <v>36</v>
      </c>
      <c r="D56">
        <v>85412900</v>
      </c>
      <c r="E56">
        <v>5</v>
      </c>
      <c r="F56">
        <v>10</v>
      </c>
      <c r="G56">
        <v>50</v>
      </c>
      <c r="H56">
        <f t="shared" si="4"/>
        <v>5</v>
      </c>
    </row>
    <row r="57" spans="1:8" x14ac:dyDescent="0.25">
      <c r="B57" t="s">
        <v>37</v>
      </c>
      <c r="C57" t="s">
        <v>38</v>
      </c>
      <c r="D57">
        <v>85340000</v>
      </c>
      <c r="E57">
        <v>2</v>
      </c>
      <c r="F57">
        <v>65</v>
      </c>
      <c r="G57">
        <v>130</v>
      </c>
      <c r="H57">
        <f t="shared" si="4"/>
        <v>2</v>
      </c>
    </row>
    <row r="58" spans="1:8" x14ac:dyDescent="0.25">
      <c r="B58" t="s">
        <v>39</v>
      </c>
      <c r="C58" t="s">
        <v>40</v>
      </c>
      <c r="D58">
        <v>85312000</v>
      </c>
      <c r="E58">
        <v>5</v>
      </c>
      <c r="F58">
        <v>7</v>
      </c>
      <c r="G58">
        <v>35</v>
      </c>
      <c r="H58">
        <f t="shared" si="4"/>
        <v>5</v>
      </c>
    </row>
    <row r="59" spans="1:8" x14ac:dyDescent="0.25">
      <c r="B59" t="s">
        <v>41</v>
      </c>
      <c r="C59" t="s">
        <v>42</v>
      </c>
      <c r="D59">
        <v>85423100</v>
      </c>
      <c r="E59">
        <v>2</v>
      </c>
      <c r="F59">
        <v>43</v>
      </c>
      <c r="G59">
        <v>86</v>
      </c>
      <c r="H59">
        <f t="shared" si="4"/>
        <v>2</v>
      </c>
    </row>
    <row r="60" spans="1:8" x14ac:dyDescent="0.25">
      <c r="B60" t="s">
        <v>43</v>
      </c>
      <c r="C60" t="s">
        <v>44</v>
      </c>
      <c r="D60">
        <v>90312000</v>
      </c>
      <c r="E60">
        <v>3</v>
      </c>
      <c r="F60">
        <v>74</v>
      </c>
      <c r="G60">
        <v>222</v>
      </c>
      <c r="H60">
        <f t="shared" si="4"/>
        <v>3</v>
      </c>
    </row>
    <row r="61" spans="1:8" x14ac:dyDescent="0.25">
      <c r="B61" t="s">
        <v>45</v>
      </c>
      <c r="C61" t="s">
        <v>46</v>
      </c>
      <c r="D61">
        <v>85441990</v>
      </c>
      <c r="E61">
        <v>1</v>
      </c>
      <c r="F61">
        <v>30</v>
      </c>
      <c r="G61">
        <v>30</v>
      </c>
      <c r="H61">
        <f t="shared" si="4"/>
        <v>1</v>
      </c>
    </row>
    <row r="62" spans="1:8" x14ac:dyDescent="0.25">
      <c r="B62" t="s">
        <v>47</v>
      </c>
      <c r="C62" t="s">
        <v>48</v>
      </c>
      <c r="D62">
        <v>85441990</v>
      </c>
      <c r="E62">
        <v>1</v>
      </c>
      <c r="F62">
        <v>30</v>
      </c>
      <c r="G62">
        <v>30</v>
      </c>
      <c r="H62">
        <f t="shared" si="4"/>
        <v>1</v>
      </c>
    </row>
    <row r="63" spans="1:8" x14ac:dyDescent="0.25">
      <c r="B63" t="s">
        <v>49</v>
      </c>
      <c r="C63" t="s">
        <v>50</v>
      </c>
      <c r="D63">
        <v>85441990</v>
      </c>
      <c r="E63">
        <v>1</v>
      </c>
      <c r="F63">
        <v>30</v>
      </c>
      <c r="G63">
        <v>30</v>
      </c>
      <c r="H63">
        <f t="shared" si="4"/>
        <v>1</v>
      </c>
    </row>
    <row r="64" spans="1:8" x14ac:dyDescent="0.25">
      <c r="B64" t="s">
        <v>51</v>
      </c>
      <c r="C64" t="s">
        <v>52</v>
      </c>
      <c r="D64">
        <v>85441990</v>
      </c>
      <c r="E64">
        <v>1</v>
      </c>
      <c r="F64">
        <v>30</v>
      </c>
      <c r="G64">
        <v>30</v>
      </c>
      <c r="H64">
        <f t="shared" si="4"/>
        <v>1</v>
      </c>
    </row>
    <row r="65" spans="2:11" x14ac:dyDescent="0.25">
      <c r="B65" t="s">
        <v>53</v>
      </c>
      <c r="C65" t="s">
        <v>54</v>
      </c>
      <c r="D65">
        <v>85441990</v>
      </c>
      <c r="E65">
        <v>1</v>
      </c>
      <c r="F65">
        <v>30</v>
      </c>
      <c r="G65">
        <v>30</v>
      </c>
      <c r="H65">
        <f t="shared" si="4"/>
        <v>0</v>
      </c>
      <c r="I65">
        <v>1</v>
      </c>
    </row>
    <row r="66" spans="2:11" x14ac:dyDescent="0.25">
      <c r="B66" t="s">
        <v>55</v>
      </c>
      <c r="C66" t="s">
        <v>56</v>
      </c>
      <c r="D66">
        <v>59069910</v>
      </c>
      <c r="E66">
        <v>1</v>
      </c>
      <c r="F66">
        <v>20</v>
      </c>
      <c r="G66">
        <v>20</v>
      </c>
      <c r="H66">
        <f t="shared" ref="H66:H129" si="5">E66-SUM(I66:AB66)</f>
        <v>1</v>
      </c>
    </row>
    <row r="67" spans="2:11" x14ac:dyDescent="0.25">
      <c r="B67" t="s">
        <v>57</v>
      </c>
      <c r="C67" t="s">
        <v>58</v>
      </c>
      <c r="D67">
        <v>85381010</v>
      </c>
      <c r="E67">
        <v>1</v>
      </c>
      <c r="F67">
        <v>74</v>
      </c>
      <c r="G67">
        <v>74</v>
      </c>
      <c r="H67">
        <f t="shared" si="5"/>
        <v>1</v>
      </c>
    </row>
    <row r="68" spans="2:11" x14ac:dyDescent="0.25">
      <c r="B68" t="s">
        <v>59</v>
      </c>
      <c r="C68" t="s">
        <v>60</v>
      </c>
      <c r="D68">
        <v>90312000</v>
      </c>
      <c r="E68">
        <v>2</v>
      </c>
      <c r="F68">
        <v>69</v>
      </c>
      <c r="G68">
        <v>138</v>
      </c>
      <c r="H68">
        <f t="shared" si="5"/>
        <v>2</v>
      </c>
    </row>
    <row r="69" spans="2:11" x14ac:dyDescent="0.25">
      <c r="B69" t="s">
        <v>61</v>
      </c>
      <c r="C69" t="s">
        <v>62</v>
      </c>
      <c r="D69">
        <v>38101010</v>
      </c>
      <c r="E69">
        <v>1</v>
      </c>
      <c r="F69">
        <v>13</v>
      </c>
      <c r="G69">
        <v>13</v>
      </c>
      <c r="H69">
        <f t="shared" si="5"/>
        <v>1</v>
      </c>
    </row>
    <row r="70" spans="2:11" x14ac:dyDescent="0.25">
      <c r="B70" t="s">
        <v>63</v>
      </c>
      <c r="C70" t="s">
        <v>64</v>
      </c>
      <c r="D70">
        <v>85366910</v>
      </c>
      <c r="E70">
        <v>5</v>
      </c>
      <c r="F70">
        <v>4</v>
      </c>
      <c r="G70">
        <v>20</v>
      </c>
      <c r="H70">
        <f t="shared" si="5"/>
        <v>5</v>
      </c>
    </row>
    <row r="71" spans="2:11" x14ac:dyDescent="0.25">
      <c r="B71" t="s">
        <v>65</v>
      </c>
      <c r="C71" t="s">
        <v>66</v>
      </c>
      <c r="D71">
        <v>85366990</v>
      </c>
      <c r="E71">
        <v>5</v>
      </c>
      <c r="F71">
        <v>8.5</v>
      </c>
      <c r="G71">
        <v>42.5</v>
      </c>
      <c r="H71">
        <f t="shared" si="5"/>
        <v>5</v>
      </c>
    </row>
    <row r="72" spans="2:11" x14ac:dyDescent="0.25">
      <c r="B72" t="s">
        <v>67</v>
      </c>
      <c r="C72" t="s">
        <v>68</v>
      </c>
      <c r="D72">
        <v>85423100</v>
      </c>
      <c r="E72">
        <v>5</v>
      </c>
      <c r="F72">
        <v>17</v>
      </c>
      <c r="G72">
        <v>85</v>
      </c>
      <c r="H72">
        <f t="shared" si="5"/>
        <v>0</v>
      </c>
      <c r="I72">
        <v>5</v>
      </c>
    </row>
    <row r="73" spans="2:11" x14ac:dyDescent="0.25">
      <c r="B73" t="s">
        <v>69</v>
      </c>
      <c r="C73" t="s">
        <v>70</v>
      </c>
      <c r="D73">
        <v>85332929</v>
      </c>
      <c r="E73">
        <v>1</v>
      </c>
      <c r="F73">
        <v>6</v>
      </c>
      <c r="G73">
        <v>6</v>
      </c>
      <c r="H73">
        <f t="shared" si="5"/>
        <v>0</v>
      </c>
      <c r="K73">
        <v>1</v>
      </c>
    </row>
    <row r="74" spans="2:11" x14ac:dyDescent="0.25">
      <c r="B74" t="s">
        <v>71</v>
      </c>
      <c r="C74" t="s">
        <v>72</v>
      </c>
      <c r="D74">
        <v>854140</v>
      </c>
      <c r="E74">
        <v>1</v>
      </c>
      <c r="F74">
        <v>190</v>
      </c>
      <c r="G74">
        <v>190</v>
      </c>
      <c r="H74">
        <f t="shared" si="5"/>
        <v>1</v>
      </c>
    </row>
    <row r="75" spans="2:11" x14ac:dyDescent="0.25">
      <c r="B75" t="s">
        <v>73</v>
      </c>
      <c r="C75" t="s">
        <v>74</v>
      </c>
      <c r="D75">
        <v>85366910</v>
      </c>
      <c r="E75">
        <v>5</v>
      </c>
      <c r="F75">
        <v>17</v>
      </c>
      <c r="G75">
        <v>85</v>
      </c>
      <c r="H75">
        <f t="shared" si="5"/>
        <v>5</v>
      </c>
    </row>
    <row r="76" spans="2:11" x14ac:dyDescent="0.25">
      <c r="B76" t="s">
        <v>75</v>
      </c>
      <c r="C76" t="s">
        <v>76</v>
      </c>
      <c r="D76">
        <v>85441990</v>
      </c>
      <c r="E76">
        <v>5</v>
      </c>
      <c r="F76">
        <v>55</v>
      </c>
      <c r="G76">
        <v>275</v>
      </c>
      <c r="H76">
        <f t="shared" si="5"/>
        <v>5</v>
      </c>
    </row>
    <row r="77" spans="2:11" x14ac:dyDescent="0.25">
      <c r="B77" t="s">
        <v>77</v>
      </c>
      <c r="C77" t="s">
        <v>78</v>
      </c>
      <c r="D77">
        <v>85049090</v>
      </c>
      <c r="E77">
        <v>2</v>
      </c>
      <c r="F77">
        <v>270</v>
      </c>
      <c r="G77">
        <v>540</v>
      </c>
      <c r="H77">
        <f t="shared" si="5"/>
        <v>2</v>
      </c>
    </row>
    <row r="78" spans="2:11" x14ac:dyDescent="0.25">
      <c r="B78" t="s">
        <v>79</v>
      </c>
      <c r="C78" t="s">
        <v>80</v>
      </c>
      <c r="E78">
        <v>1</v>
      </c>
      <c r="F78">
        <v>3</v>
      </c>
      <c r="G78">
        <v>3</v>
      </c>
      <c r="H78">
        <f t="shared" si="5"/>
        <v>1</v>
      </c>
    </row>
    <row r="79" spans="2:11" x14ac:dyDescent="0.25">
      <c r="B79" t="s">
        <v>81</v>
      </c>
      <c r="C79" t="s">
        <v>82</v>
      </c>
      <c r="E79">
        <v>3</v>
      </c>
      <c r="F79">
        <v>11</v>
      </c>
      <c r="G79">
        <v>33</v>
      </c>
      <c r="H79">
        <f t="shared" si="5"/>
        <v>3</v>
      </c>
    </row>
    <row r="80" spans="2:11" x14ac:dyDescent="0.25">
      <c r="B80" t="s">
        <v>35</v>
      </c>
      <c r="C80" t="s">
        <v>36</v>
      </c>
      <c r="E80">
        <v>1</v>
      </c>
      <c r="F80">
        <v>10</v>
      </c>
      <c r="G80">
        <v>10</v>
      </c>
      <c r="H80">
        <f t="shared" si="5"/>
        <v>1</v>
      </c>
    </row>
    <row r="81" spans="2:8" x14ac:dyDescent="0.25">
      <c r="B81" t="s">
        <v>83</v>
      </c>
      <c r="C81" t="s">
        <v>84</v>
      </c>
      <c r="E81">
        <v>1</v>
      </c>
      <c r="F81">
        <v>375</v>
      </c>
      <c r="G81">
        <v>375</v>
      </c>
      <c r="H81">
        <f t="shared" si="5"/>
        <v>1</v>
      </c>
    </row>
    <row r="82" spans="2:8" x14ac:dyDescent="0.25">
      <c r="B82" t="s">
        <v>85</v>
      </c>
      <c r="C82" t="s">
        <v>86</v>
      </c>
      <c r="E82">
        <v>5</v>
      </c>
      <c r="F82">
        <v>12</v>
      </c>
      <c r="G82">
        <v>60</v>
      </c>
      <c r="H82">
        <f t="shared" si="5"/>
        <v>5</v>
      </c>
    </row>
    <row r="83" spans="2:8" x14ac:dyDescent="0.25">
      <c r="B83" t="s">
        <v>87</v>
      </c>
      <c r="C83" t="s">
        <v>88</v>
      </c>
      <c r="E83">
        <v>6</v>
      </c>
      <c r="F83">
        <v>14</v>
      </c>
      <c r="G83">
        <v>84</v>
      </c>
      <c r="H83">
        <f t="shared" si="5"/>
        <v>6</v>
      </c>
    </row>
    <row r="84" spans="2:8" x14ac:dyDescent="0.25">
      <c r="B84" t="s">
        <v>89</v>
      </c>
      <c r="C84" t="s">
        <v>90</v>
      </c>
      <c r="E84">
        <v>5</v>
      </c>
      <c r="F84">
        <v>9</v>
      </c>
      <c r="G84">
        <v>45</v>
      </c>
      <c r="H84">
        <f t="shared" si="5"/>
        <v>5</v>
      </c>
    </row>
    <row r="85" spans="2:8" x14ac:dyDescent="0.25">
      <c r="B85" t="s">
        <v>91</v>
      </c>
      <c r="C85" t="s">
        <v>92</v>
      </c>
      <c r="E85">
        <v>3</v>
      </c>
      <c r="F85">
        <v>35</v>
      </c>
      <c r="G85">
        <v>105</v>
      </c>
      <c r="H85">
        <f t="shared" si="5"/>
        <v>3</v>
      </c>
    </row>
    <row r="86" spans="2:8" x14ac:dyDescent="0.25">
      <c r="B86" t="s">
        <v>93</v>
      </c>
      <c r="C86" t="s">
        <v>94</v>
      </c>
      <c r="E86">
        <v>1</v>
      </c>
      <c r="F86">
        <v>55</v>
      </c>
      <c r="G86">
        <v>55</v>
      </c>
      <c r="H86">
        <f t="shared" si="5"/>
        <v>1</v>
      </c>
    </row>
    <row r="87" spans="2:8" x14ac:dyDescent="0.25">
      <c r="B87" t="s">
        <v>95</v>
      </c>
      <c r="C87" t="s">
        <v>96</v>
      </c>
      <c r="E87">
        <v>1</v>
      </c>
      <c r="F87">
        <v>9.5</v>
      </c>
      <c r="G87">
        <v>9.5</v>
      </c>
      <c r="H87">
        <f t="shared" si="5"/>
        <v>1</v>
      </c>
    </row>
    <row r="88" spans="2:8" x14ac:dyDescent="0.25">
      <c r="B88" t="s">
        <v>97</v>
      </c>
      <c r="C88" t="s">
        <v>98</v>
      </c>
      <c r="E88">
        <v>2</v>
      </c>
      <c r="F88">
        <v>21</v>
      </c>
      <c r="G88">
        <v>42</v>
      </c>
      <c r="H88">
        <f t="shared" si="5"/>
        <v>2</v>
      </c>
    </row>
    <row r="89" spans="2:8" x14ac:dyDescent="0.25">
      <c r="B89" t="s">
        <v>99</v>
      </c>
      <c r="C89" t="s">
        <v>100</v>
      </c>
      <c r="E89">
        <v>4</v>
      </c>
      <c r="F89">
        <v>18</v>
      </c>
      <c r="G89">
        <v>72</v>
      </c>
      <c r="H89">
        <f t="shared" si="5"/>
        <v>4</v>
      </c>
    </row>
    <row r="90" spans="2:8" x14ac:dyDescent="0.25">
      <c r="B90" t="s">
        <v>101</v>
      </c>
      <c r="C90" t="s">
        <v>102</v>
      </c>
      <c r="E90">
        <v>4</v>
      </c>
      <c r="F90">
        <v>18</v>
      </c>
      <c r="G90">
        <v>72</v>
      </c>
      <c r="H90">
        <f t="shared" si="5"/>
        <v>4</v>
      </c>
    </row>
    <row r="91" spans="2:8" x14ac:dyDescent="0.25">
      <c r="B91" t="s">
        <v>103</v>
      </c>
      <c r="C91" t="s">
        <v>104</v>
      </c>
      <c r="E91">
        <v>1</v>
      </c>
      <c r="F91">
        <v>218</v>
      </c>
      <c r="G91">
        <v>218</v>
      </c>
      <c r="H91">
        <f t="shared" si="5"/>
        <v>1</v>
      </c>
    </row>
    <row r="92" spans="2:8" x14ac:dyDescent="0.25">
      <c r="B92" t="s">
        <v>105</v>
      </c>
      <c r="C92" t="s">
        <v>106</v>
      </c>
      <c r="E92">
        <v>9</v>
      </c>
      <c r="F92">
        <v>28</v>
      </c>
      <c r="G92">
        <v>252</v>
      </c>
      <c r="H92">
        <f t="shared" si="5"/>
        <v>9</v>
      </c>
    </row>
    <row r="93" spans="2:8" x14ac:dyDescent="0.25">
      <c r="B93" t="s">
        <v>107</v>
      </c>
      <c r="C93" t="s">
        <v>108</v>
      </c>
      <c r="E93">
        <v>4</v>
      </c>
      <c r="F93">
        <v>15</v>
      </c>
      <c r="G93">
        <v>60</v>
      </c>
      <c r="H93">
        <f t="shared" si="5"/>
        <v>4</v>
      </c>
    </row>
    <row r="94" spans="2:8" x14ac:dyDescent="0.25">
      <c r="B94" t="s">
        <v>109</v>
      </c>
      <c r="C94" t="s">
        <v>110</v>
      </c>
      <c r="E94">
        <v>4</v>
      </c>
      <c r="F94">
        <v>15</v>
      </c>
      <c r="G94">
        <v>60</v>
      </c>
      <c r="H94">
        <f t="shared" si="5"/>
        <v>4</v>
      </c>
    </row>
    <row r="95" spans="2:8" x14ac:dyDescent="0.25">
      <c r="B95" t="s">
        <v>111</v>
      </c>
      <c r="C95" t="s">
        <v>112</v>
      </c>
      <c r="E95">
        <v>5</v>
      </c>
      <c r="F95">
        <v>15</v>
      </c>
      <c r="G95">
        <v>75</v>
      </c>
      <c r="H95">
        <f t="shared" si="5"/>
        <v>5</v>
      </c>
    </row>
    <row r="96" spans="2:8" x14ac:dyDescent="0.25">
      <c r="B96" t="s">
        <v>113</v>
      </c>
      <c r="C96" t="s">
        <v>114</v>
      </c>
      <c r="E96">
        <v>1</v>
      </c>
      <c r="F96">
        <v>60</v>
      </c>
      <c r="G96">
        <v>60</v>
      </c>
      <c r="H96">
        <f t="shared" si="5"/>
        <v>1</v>
      </c>
    </row>
    <row r="97" spans="2:11" x14ac:dyDescent="0.25">
      <c r="B97" t="s">
        <v>115</v>
      </c>
      <c r="C97" t="s">
        <v>116</v>
      </c>
      <c r="E97">
        <v>1</v>
      </c>
      <c r="F97">
        <v>189</v>
      </c>
      <c r="G97">
        <v>189</v>
      </c>
      <c r="H97">
        <f t="shared" si="5"/>
        <v>0</v>
      </c>
      <c r="K97">
        <v>1</v>
      </c>
    </row>
    <row r="98" spans="2:11" x14ac:dyDescent="0.25">
      <c r="B98" t="s">
        <v>117</v>
      </c>
      <c r="C98" t="s">
        <v>118</v>
      </c>
      <c r="E98">
        <v>3</v>
      </c>
      <c r="F98">
        <v>120</v>
      </c>
      <c r="G98">
        <v>360</v>
      </c>
      <c r="H98">
        <f t="shared" si="5"/>
        <v>3</v>
      </c>
    </row>
    <row r="99" spans="2:11" x14ac:dyDescent="0.25">
      <c r="B99" t="s">
        <v>119</v>
      </c>
      <c r="C99" t="s">
        <v>120</v>
      </c>
      <c r="E99">
        <v>1</v>
      </c>
      <c r="F99">
        <v>14</v>
      </c>
      <c r="G99">
        <v>14</v>
      </c>
      <c r="H99">
        <f t="shared" si="5"/>
        <v>1</v>
      </c>
    </row>
    <row r="100" spans="2:11" x14ac:dyDescent="0.25">
      <c r="B100" t="s">
        <v>121</v>
      </c>
      <c r="C100" t="s">
        <v>88</v>
      </c>
      <c r="D100">
        <v>8207</v>
      </c>
      <c r="E100">
        <v>2</v>
      </c>
      <c r="F100">
        <v>14.75</v>
      </c>
      <c r="G100">
        <v>29.5</v>
      </c>
      <c r="H100">
        <f t="shared" si="5"/>
        <v>2</v>
      </c>
    </row>
    <row r="101" spans="2:11" x14ac:dyDescent="0.25">
      <c r="B101" t="s">
        <v>89</v>
      </c>
      <c r="C101" t="s">
        <v>90</v>
      </c>
      <c r="D101">
        <v>8536</v>
      </c>
      <c r="E101">
        <v>10</v>
      </c>
      <c r="F101">
        <v>9</v>
      </c>
      <c r="G101">
        <v>90</v>
      </c>
      <c r="H101">
        <f t="shared" si="5"/>
        <v>10</v>
      </c>
    </row>
    <row r="102" spans="2:11" x14ac:dyDescent="0.25">
      <c r="B102" t="s">
        <v>122</v>
      </c>
      <c r="C102" t="s">
        <v>123</v>
      </c>
      <c r="D102">
        <v>8311</v>
      </c>
      <c r="E102">
        <v>1</v>
      </c>
      <c r="F102">
        <v>60</v>
      </c>
      <c r="G102">
        <v>60</v>
      </c>
      <c r="H102">
        <f t="shared" si="5"/>
        <v>1</v>
      </c>
    </row>
    <row r="103" spans="2:11" x14ac:dyDescent="0.25">
      <c r="B103" t="s">
        <v>103</v>
      </c>
      <c r="C103" t="s">
        <v>104</v>
      </c>
      <c r="D103">
        <v>8517</v>
      </c>
      <c r="E103">
        <v>2</v>
      </c>
      <c r="F103">
        <v>245</v>
      </c>
      <c r="G103">
        <v>490</v>
      </c>
      <c r="H103">
        <f t="shared" si="5"/>
        <v>1</v>
      </c>
      <c r="J103">
        <v>1</v>
      </c>
    </row>
    <row r="104" spans="2:11" x14ac:dyDescent="0.25">
      <c r="B104" t="s">
        <v>124</v>
      </c>
      <c r="C104" t="s">
        <v>110</v>
      </c>
      <c r="D104">
        <v>8207</v>
      </c>
      <c r="E104">
        <v>2</v>
      </c>
      <c r="F104">
        <v>15.75</v>
      </c>
      <c r="G104">
        <v>31.5</v>
      </c>
      <c r="H104">
        <f t="shared" si="5"/>
        <v>2</v>
      </c>
    </row>
    <row r="105" spans="2:11" x14ac:dyDescent="0.25">
      <c r="B105" t="s">
        <v>125</v>
      </c>
      <c r="C105" t="s">
        <v>126</v>
      </c>
      <c r="D105">
        <v>8207</v>
      </c>
      <c r="E105">
        <v>2</v>
      </c>
      <c r="F105">
        <v>16.75</v>
      </c>
      <c r="G105">
        <v>33.5</v>
      </c>
      <c r="H105">
        <f t="shared" si="5"/>
        <v>2</v>
      </c>
    </row>
    <row r="106" spans="2:11" x14ac:dyDescent="0.25">
      <c r="B106" t="s">
        <v>127</v>
      </c>
      <c r="C106" t="s">
        <v>128</v>
      </c>
      <c r="D106">
        <v>8207</v>
      </c>
      <c r="E106">
        <v>2</v>
      </c>
      <c r="F106">
        <v>18.75</v>
      </c>
      <c r="G106">
        <v>37.5</v>
      </c>
      <c r="H106">
        <f t="shared" si="5"/>
        <v>2</v>
      </c>
    </row>
    <row r="107" spans="2:11" x14ac:dyDescent="0.25">
      <c r="B107" t="s">
        <v>129</v>
      </c>
      <c r="C107" t="s">
        <v>130</v>
      </c>
      <c r="D107">
        <v>9026</v>
      </c>
      <c r="E107">
        <v>1</v>
      </c>
      <c r="F107">
        <v>150</v>
      </c>
      <c r="G107">
        <v>150</v>
      </c>
      <c r="H107">
        <f t="shared" si="5"/>
        <v>0</v>
      </c>
      <c r="I107">
        <v>1</v>
      </c>
    </row>
    <row r="108" spans="2:11" x14ac:dyDescent="0.25">
      <c r="B108" t="s">
        <v>75</v>
      </c>
      <c r="C108" t="s">
        <v>76</v>
      </c>
      <c r="D108">
        <v>8544</v>
      </c>
      <c r="E108">
        <v>5</v>
      </c>
      <c r="F108">
        <v>40</v>
      </c>
      <c r="G108">
        <v>200</v>
      </c>
      <c r="H108">
        <f t="shared" si="5"/>
        <v>5</v>
      </c>
    </row>
    <row r="109" spans="2:11" x14ac:dyDescent="0.25">
      <c r="B109" t="s">
        <v>131</v>
      </c>
      <c r="C109" t="s">
        <v>132</v>
      </c>
      <c r="E109">
        <v>1</v>
      </c>
      <c r="F109">
        <v>105</v>
      </c>
      <c r="G109">
        <v>105</v>
      </c>
      <c r="H109">
        <f t="shared" si="5"/>
        <v>1</v>
      </c>
    </row>
    <row r="110" spans="2:11" x14ac:dyDescent="0.25">
      <c r="B110" t="s">
        <v>133</v>
      </c>
      <c r="C110" t="s">
        <v>134</v>
      </c>
      <c r="E110">
        <v>1</v>
      </c>
      <c r="F110">
        <v>85</v>
      </c>
      <c r="G110">
        <v>85</v>
      </c>
      <c r="H110">
        <f t="shared" si="5"/>
        <v>1</v>
      </c>
    </row>
    <row r="111" spans="2:11" x14ac:dyDescent="0.25">
      <c r="B111" t="s">
        <v>135</v>
      </c>
      <c r="C111" t="s">
        <v>136</v>
      </c>
      <c r="E111">
        <v>1</v>
      </c>
      <c r="F111">
        <v>80</v>
      </c>
      <c r="G111">
        <v>80</v>
      </c>
      <c r="H111">
        <f t="shared" si="5"/>
        <v>1</v>
      </c>
    </row>
    <row r="112" spans="2:11" x14ac:dyDescent="0.25">
      <c r="B112" t="s">
        <v>137</v>
      </c>
      <c r="C112" t="s">
        <v>138</v>
      </c>
      <c r="E112">
        <v>2</v>
      </c>
      <c r="F112">
        <v>175</v>
      </c>
      <c r="G112">
        <v>350</v>
      </c>
      <c r="H112">
        <f t="shared" si="5"/>
        <v>2</v>
      </c>
    </row>
    <row r="113" spans="2:8" x14ac:dyDescent="0.25">
      <c r="B113" t="s">
        <v>139</v>
      </c>
      <c r="C113" t="s">
        <v>140</v>
      </c>
      <c r="E113">
        <v>1</v>
      </c>
      <c r="F113">
        <v>9</v>
      </c>
      <c r="G113">
        <v>9</v>
      </c>
      <c r="H113">
        <f t="shared" si="5"/>
        <v>1</v>
      </c>
    </row>
    <row r="114" spans="2:8" x14ac:dyDescent="0.25">
      <c r="B114" t="s">
        <v>141</v>
      </c>
      <c r="C114" t="s">
        <v>142</v>
      </c>
      <c r="E114">
        <v>1</v>
      </c>
      <c r="F114">
        <v>65</v>
      </c>
      <c r="G114">
        <v>65</v>
      </c>
      <c r="H114">
        <f t="shared" si="5"/>
        <v>1</v>
      </c>
    </row>
    <row r="115" spans="2:8" x14ac:dyDescent="0.25">
      <c r="B115" t="s">
        <v>89</v>
      </c>
      <c r="C115" t="s">
        <v>90</v>
      </c>
      <c r="E115">
        <v>6</v>
      </c>
      <c r="F115">
        <v>9</v>
      </c>
      <c r="G115">
        <v>54</v>
      </c>
      <c r="H115">
        <f t="shared" si="5"/>
        <v>6</v>
      </c>
    </row>
    <row r="116" spans="2:8" x14ac:dyDescent="0.25">
      <c r="B116" t="s">
        <v>143</v>
      </c>
      <c r="C116" t="s">
        <v>144</v>
      </c>
      <c r="E116">
        <v>2</v>
      </c>
      <c r="F116">
        <v>23</v>
      </c>
      <c r="G116">
        <v>46</v>
      </c>
      <c r="H116">
        <f t="shared" si="5"/>
        <v>2</v>
      </c>
    </row>
    <row r="117" spans="2:8" x14ac:dyDescent="0.25">
      <c r="B117" t="s">
        <v>145</v>
      </c>
      <c r="C117" t="s">
        <v>146</v>
      </c>
      <c r="E117">
        <v>1</v>
      </c>
      <c r="F117">
        <v>98</v>
      </c>
      <c r="G117">
        <v>98</v>
      </c>
      <c r="H117">
        <f t="shared" si="5"/>
        <v>1</v>
      </c>
    </row>
    <row r="118" spans="2:8" x14ac:dyDescent="0.25">
      <c r="B118" t="s">
        <v>147</v>
      </c>
      <c r="C118" t="s">
        <v>148</v>
      </c>
      <c r="E118">
        <v>1</v>
      </c>
      <c r="F118">
        <v>37.5</v>
      </c>
      <c r="G118">
        <v>37.5</v>
      </c>
      <c r="H118">
        <f t="shared" si="5"/>
        <v>1</v>
      </c>
    </row>
    <row r="119" spans="2:8" x14ac:dyDescent="0.25">
      <c r="B119" t="s">
        <v>149</v>
      </c>
      <c r="C119" t="s">
        <v>150</v>
      </c>
      <c r="E119">
        <v>2</v>
      </c>
      <c r="F119">
        <v>20</v>
      </c>
      <c r="G119">
        <v>40</v>
      </c>
      <c r="H119">
        <f t="shared" si="5"/>
        <v>2</v>
      </c>
    </row>
    <row r="120" spans="2:8" x14ac:dyDescent="0.25">
      <c r="B120" t="s">
        <v>151</v>
      </c>
      <c r="C120" t="s">
        <v>152</v>
      </c>
      <c r="E120">
        <v>1</v>
      </c>
      <c r="F120">
        <v>13.5</v>
      </c>
      <c r="G120">
        <v>13.5</v>
      </c>
      <c r="H120">
        <f t="shared" si="5"/>
        <v>1</v>
      </c>
    </row>
    <row r="121" spans="2:8" x14ac:dyDescent="0.25">
      <c r="B121" t="s">
        <v>153</v>
      </c>
      <c r="C121" t="s">
        <v>154</v>
      </c>
      <c r="E121">
        <v>1</v>
      </c>
      <c r="F121">
        <v>9</v>
      </c>
      <c r="G121">
        <v>9</v>
      </c>
      <c r="H121">
        <f t="shared" si="5"/>
        <v>1</v>
      </c>
    </row>
    <row r="122" spans="2:8" x14ac:dyDescent="0.25">
      <c r="B122" t="s">
        <v>155</v>
      </c>
      <c r="C122" t="s">
        <v>156</v>
      </c>
      <c r="E122">
        <v>1</v>
      </c>
      <c r="F122">
        <v>65</v>
      </c>
      <c r="G122">
        <v>65</v>
      </c>
      <c r="H122">
        <f t="shared" si="5"/>
        <v>1</v>
      </c>
    </row>
    <row r="123" spans="2:8" x14ac:dyDescent="0.25">
      <c r="B123" t="s">
        <v>111</v>
      </c>
      <c r="C123" t="s">
        <v>112</v>
      </c>
      <c r="E123">
        <v>1</v>
      </c>
      <c r="F123">
        <v>15</v>
      </c>
      <c r="G123">
        <v>15</v>
      </c>
      <c r="H123">
        <f t="shared" si="5"/>
        <v>1</v>
      </c>
    </row>
    <row r="124" spans="2:8" x14ac:dyDescent="0.25">
      <c r="B124" t="s">
        <v>157</v>
      </c>
      <c r="C124" t="s">
        <v>158</v>
      </c>
      <c r="E124">
        <v>1</v>
      </c>
      <c r="F124">
        <v>59</v>
      </c>
      <c r="G124">
        <v>59</v>
      </c>
      <c r="H124">
        <f t="shared" si="5"/>
        <v>1</v>
      </c>
    </row>
    <row r="125" spans="2:8" x14ac:dyDescent="0.25">
      <c r="B125" t="s">
        <v>159</v>
      </c>
      <c r="C125" t="s">
        <v>160</v>
      </c>
      <c r="E125">
        <v>1</v>
      </c>
      <c r="F125">
        <v>10</v>
      </c>
      <c r="G125">
        <v>10</v>
      </c>
      <c r="H125">
        <f t="shared" si="5"/>
        <v>1</v>
      </c>
    </row>
    <row r="126" spans="2:8" x14ac:dyDescent="0.25">
      <c r="B126" t="s">
        <v>161</v>
      </c>
      <c r="C126" t="s">
        <v>162</v>
      </c>
      <c r="E126">
        <v>2</v>
      </c>
      <c r="F126">
        <v>90</v>
      </c>
      <c r="G126">
        <v>180</v>
      </c>
      <c r="H126">
        <f t="shared" si="5"/>
        <v>2</v>
      </c>
    </row>
    <row r="127" spans="2:8" x14ac:dyDescent="0.25">
      <c r="B127" t="s">
        <v>129</v>
      </c>
      <c r="C127" t="s">
        <v>130</v>
      </c>
      <c r="E127">
        <v>2</v>
      </c>
      <c r="F127">
        <v>150</v>
      </c>
      <c r="G127">
        <v>300</v>
      </c>
      <c r="H127">
        <f t="shared" si="5"/>
        <v>2</v>
      </c>
    </row>
    <row r="128" spans="2:8" x14ac:dyDescent="0.25">
      <c r="B128" t="s">
        <v>75</v>
      </c>
      <c r="C128" t="s">
        <v>76</v>
      </c>
      <c r="E128">
        <v>2</v>
      </c>
      <c r="F128">
        <v>40</v>
      </c>
      <c r="G128">
        <v>80</v>
      </c>
      <c r="H128">
        <f t="shared" si="5"/>
        <v>2</v>
      </c>
    </row>
    <row r="129" spans="2:12" x14ac:dyDescent="0.25">
      <c r="B129" t="s">
        <v>163</v>
      </c>
      <c r="C129" t="s">
        <v>164</v>
      </c>
      <c r="E129">
        <v>1</v>
      </c>
      <c r="F129">
        <v>185</v>
      </c>
      <c r="G129">
        <v>185</v>
      </c>
      <c r="H129">
        <f t="shared" si="5"/>
        <v>1</v>
      </c>
    </row>
    <row r="130" spans="2:12" x14ac:dyDescent="0.25">
      <c r="B130" t="s">
        <v>165</v>
      </c>
      <c r="C130" t="s">
        <v>166</v>
      </c>
      <c r="D130">
        <v>8529</v>
      </c>
      <c r="E130">
        <v>2</v>
      </c>
      <c r="F130">
        <v>155</v>
      </c>
      <c r="G130">
        <v>310</v>
      </c>
      <c r="H130">
        <f t="shared" ref="H130:H133" si="6">E130-SUM(I130:AB130)</f>
        <v>2</v>
      </c>
    </row>
    <row r="131" spans="2:12" x14ac:dyDescent="0.25">
      <c r="B131" t="s">
        <v>103</v>
      </c>
      <c r="C131" t="s">
        <v>104</v>
      </c>
      <c r="D131">
        <v>8517</v>
      </c>
      <c r="E131">
        <v>2</v>
      </c>
      <c r="F131">
        <v>245</v>
      </c>
      <c r="G131">
        <v>490</v>
      </c>
      <c r="H131">
        <f t="shared" si="6"/>
        <v>0</v>
      </c>
      <c r="K131">
        <v>1</v>
      </c>
      <c r="L131">
        <v>1</v>
      </c>
    </row>
    <row r="132" spans="2:12" x14ac:dyDescent="0.25">
      <c r="B132" t="s">
        <v>167</v>
      </c>
      <c r="C132" t="s">
        <v>168</v>
      </c>
      <c r="E132">
        <v>2</v>
      </c>
      <c r="F132">
        <v>240</v>
      </c>
      <c r="G132">
        <v>480</v>
      </c>
      <c r="H132">
        <f t="shared" si="6"/>
        <v>1</v>
      </c>
      <c r="L132">
        <v>1</v>
      </c>
    </row>
    <row r="133" spans="2:12" x14ac:dyDescent="0.25">
      <c r="B133" t="s">
        <v>169</v>
      </c>
      <c r="C133" t="s">
        <v>170</v>
      </c>
      <c r="D133">
        <v>8529</v>
      </c>
      <c r="E133">
        <v>4</v>
      </c>
      <c r="F133">
        <v>68</v>
      </c>
      <c r="G133">
        <v>272</v>
      </c>
      <c r="H133">
        <f t="shared" si="6"/>
        <v>2</v>
      </c>
      <c r="K133">
        <v>1</v>
      </c>
      <c r="L133">
        <v>1</v>
      </c>
    </row>
  </sheetData>
  <autoFilter ref="A1:K133" xr:uid="{EAE03AD8-B007-4F3B-8E35-97B9262A2F43}"/>
  <conditionalFormatting sqref="I65 I72 I107 H1:H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1D26-769C-4399-A3E4-7AB95482EA0A}">
  <dimension ref="A1:A182"/>
  <sheetViews>
    <sheetView topLeftCell="A176" workbookViewId="0">
      <selection sqref="A1:A182"/>
    </sheetView>
  </sheetViews>
  <sheetFormatPr defaultRowHeight="15" x14ac:dyDescent="0.25"/>
  <cols>
    <col min="1" max="1" width="59.42578125" customWidth="1"/>
  </cols>
  <sheetData>
    <row r="1" spans="1:1" ht="16.5" x14ac:dyDescent="0.25">
      <c r="A1" s="3"/>
    </row>
    <row r="2" spans="1:1" ht="30" x14ac:dyDescent="0.25">
      <c r="A2" s="4" t="s">
        <v>175</v>
      </c>
    </row>
    <row r="3" spans="1:1" ht="148.5" x14ac:dyDescent="0.25">
      <c r="A3" s="5" t="s">
        <v>176</v>
      </c>
    </row>
    <row r="4" spans="1:1" ht="16.5" x14ac:dyDescent="0.25">
      <c r="A4" s="6">
        <v>8</v>
      </c>
    </row>
    <row r="5" spans="1:1" ht="16.5" x14ac:dyDescent="0.25">
      <c r="A5" s="3"/>
    </row>
    <row r="6" spans="1:1" ht="30" x14ac:dyDescent="0.25">
      <c r="A6" s="4" t="s">
        <v>177</v>
      </c>
    </row>
    <row r="7" spans="1:1" ht="214.5" x14ac:dyDescent="0.25">
      <c r="A7" s="5" t="s">
        <v>178</v>
      </c>
    </row>
    <row r="8" spans="1:1" x14ac:dyDescent="0.25">
      <c r="A8" s="7" t="s">
        <v>179</v>
      </c>
    </row>
    <row r="9" spans="1:1" ht="36" x14ac:dyDescent="0.25">
      <c r="A9" s="8" t="s">
        <v>180</v>
      </c>
    </row>
    <row r="10" spans="1:1" x14ac:dyDescent="0.25">
      <c r="A10" s="9">
        <v>40</v>
      </c>
    </row>
    <row r="11" spans="1:1" ht="16.5" x14ac:dyDescent="0.25">
      <c r="A11" s="6">
        <v>36</v>
      </c>
    </row>
    <row r="12" spans="1:1" ht="16.5" x14ac:dyDescent="0.25">
      <c r="A12" s="3"/>
    </row>
    <row r="13" spans="1:1" ht="30" x14ac:dyDescent="0.25">
      <c r="A13" s="4" t="s">
        <v>181</v>
      </c>
    </row>
    <row r="14" spans="1:1" ht="148.5" x14ac:dyDescent="0.25">
      <c r="A14" s="5" t="s">
        <v>182</v>
      </c>
    </row>
    <row r="15" spans="1:1" x14ac:dyDescent="0.25">
      <c r="A15" s="7" t="s">
        <v>183</v>
      </c>
    </row>
    <row r="16" spans="1:1" ht="16.5" x14ac:dyDescent="0.25">
      <c r="A16" s="6">
        <v>16</v>
      </c>
    </row>
    <row r="17" spans="1:1" ht="16.5" x14ac:dyDescent="0.25">
      <c r="A17" s="3"/>
    </row>
    <row r="18" spans="1:1" ht="30" x14ac:dyDescent="0.25">
      <c r="A18" s="4" t="s">
        <v>181</v>
      </c>
    </row>
    <row r="19" spans="1:1" ht="132" x14ac:dyDescent="0.25">
      <c r="A19" s="5" t="s">
        <v>184</v>
      </c>
    </row>
    <row r="20" spans="1:1" ht="24" x14ac:dyDescent="0.25">
      <c r="A20" s="7" t="s">
        <v>185</v>
      </c>
    </row>
    <row r="21" spans="1:1" ht="16.5" x14ac:dyDescent="0.25">
      <c r="A21" s="6">
        <v>66</v>
      </c>
    </row>
    <row r="22" spans="1:1" ht="16.5" x14ac:dyDescent="0.25">
      <c r="A22" s="3"/>
    </row>
    <row r="23" spans="1:1" ht="30" x14ac:dyDescent="0.25">
      <c r="A23" s="4" t="s">
        <v>181</v>
      </c>
    </row>
    <row r="24" spans="1:1" ht="198" x14ac:dyDescent="0.25">
      <c r="A24" s="5" t="s">
        <v>186</v>
      </c>
    </row>
    <row r="25" spans="1:1" ht="24" x14ac:dyDescent="0.25">
      <c r="A25" s="7" t="s">
        <v>187</v>
      </c>
    </row>
    <row r="26" spans="1:1" ht="16.5" x14ac:dyDescent="0.25">
      <c r="A26" s="6">
        <v>96</v>
      </c>
    </row>
    <row r="27" spans="1:1" ht="16.5" x14ac:dyDescent="0.25">
      <c r="A27" s="3"/>
    </row>
    <row r="28" spans="1:1" ht="30" x14ac:dyDescent="0.25">
      <c r="A28" s="4" t="s">
        <v>181</v>
      </c>
    </row>
    <row r="29" spans="1:1" ht="181.5" x14ac:dyDescent="0.25">
      <c r="A29" s="5" t="s">
        <v>188</v>
      </c>
    </row>
    <row r="30" spans="1:1" ht="24" x14ac:dyDescent="0.25">
      <c r="A30" s="7" t="s">
        <v>187</v>
      </c>
    </row>
    <row r="31" spans="1:1" ht="16.5" x14ac:dyDescent="0.25">
      <c r="A31" s="6">
        <v>96</v>
      </c>
    </row>
    <row r="32" spans="1:1" ht="16.5" x14ac:dyDescent="0.25">
      <c r="A32" s="3"/>
    </row>
    <row r="33" spans="1:1" ht="30" x14ac:dyDescent="0.25">
      <c r="A33" s="4" t="s">
        <v>189</v>
      </c>
    </row>
    <row r="34" spans="1:1" ht="115.5" x14ac:dyDescent="0.25">
      <c r="A34" s="5" t="s">
        <v>190</v>
      </c>
    </row>
    <row r="35" spans="1:1" x14ac:dyDescent="0.25">
      <c r="A35" s="7" t="s">
        <v>191</v>
      </c>
    </row>
    <row r="36" spans="1:1" ht="16.5" x14ac:dyDescent="0.25">
      <c r="A36" s="6">
        <v>36</v>
      </c>
    </row>
    <row r="37" spans="1:1" ht="16.5" x14ac:dyDescent="0.25">
      <c r="A37" s="3"/>
    </row>
    <row r="38" spans="1:1" ht="30" x14ac:dyDescent="0.25">
      <c r="A38" s="4" t="s">
        <v>175</v>
      </c>
    </row>
    <row r="39" spans="1:1" ht="99" x14ac:dyDescent="0.25">
      <c r="A39" s="5" t="s">
        <v>192</v>
      </c>
    </row>
    <row r="40" spans="1:1" ht="16.5" x14ac:dyDescent="0.25">
      <c r="A40" s="6">
        <v>72</v>
      </c>
    </row>
    <row r="41" spans="1:1" ht="16.5" x14ac:dyDescent="0.25">
      <c r="A41" s="3"/>
    </row>
    <row r="42" spans="1:1" ht="30" x14ac:dyDescent="0.25">
      <c r="A42" s="4" t="s">
        <v>175</v>
      </c>
    </row>
    <row r="43" spans="1:1" ht="115.5" x14ac:dyDescent="0.25">
      <c r="A43" s="5" t="s">
        <v>193</v>
      </c>
    </row>
    <row r="44" spans="1:1" ht="16.5" x14ac:dyDescent="0.25">
      <c r="A44" s="6">
        <v>96</v>
      </c>
    </row>
    <row r="45" spans="1:1" ht="16.5" x14ac:dyDescent="0.25">
      <c r="A45" s="3"/>
    </row>
    <row r="46" spans="1:1" ht="30" x14ac:dyDescent="0.25">
      <c r="A46" s="4" t="s">
        <v>175</v>
      </c>
    </row>
    <row r="47" spans="1:1" ht="165" x14ac:dyDescent="0.25">
      <c r="A47" s="5" t="s">
        <v>194</v>
      </c>
    </row>
    <row r="48" spans="1:1" ht="16.5" x14ac:dyDescent="0.25">
      <c r="A48" s="6">
        <v>154</v>
      </c>
    </row>
    <row r="49" spans="1:1" ht="16.5" x14ac:dyDescent="0.25">
      <c r="A49" s="3"/>
    </row>
    <row r="50" spans="1:1" ht="30" x14ac:dyDescent="0.25">
      <c r="A50" s="4" t="s">
        <v>181</v>
      </c>
    </row>
    <row r="51" spans="1:1" ht="148.5" x14ac:dyDescent="0.25">
      <c r="A51" s="5" t="s">
        <v>195</v>
      </c>
    </row>
    <row r="52" spans="1:1" x14ac:dyDescent="0.25">
      <c r="A52" s="7" t="s">
        <v>196</v>
      </c>
    </row>
    <row r="53" spans="1:1" ht="16.5" x14ac:dyDescent="0.25">
      <c r="A53" s="6">
        <v>12</v>
      </c>
    </row>
    <row r="54" spans="1:1" ht="16.5" x14ac:dyDescent="0.25">
      <c r="A54" s="3"/>
    </row>
    <row r="55" spans="1:1" ht="30" x14ac:dyDescent="0.25">
      <c r="A55" s="4" t="s">
        <v>175</v>
      </c>
    </row>
    <row r="56" spans="1:1" ht="181.5" x14ac:dyDescent="0.25">
      <c r="A56" s="5" t="s">
        <v>197</v>
      </c>
    </row>
    <row r="57" spans="1:1" ht="16.5" x14ac:dyDescent="0.25">
      <c r="A57" s="6">
        <v>13</v>
      </c>
    </row>
    <row r="58" spans="1:1" ht="16.5" x14ac:dyDescent="0.25">
      <c r="A58" s="3"/>
    </row>
    <row r="59" spans="1:1" ht="30" x14ac:dyDescent="0.25">
      <c r="A59" s="4" t="s">
        <v>181</v>
      </c>
    </row>
    <row r="60" spans="1:1" ht="148.5" x14ac:dyDescent="0.25">
      <c r="A60" s="5" t="s">
        <v>198</v>
      </c>
    </row>
    <row r="61" spans="1:1" x14ac:dyDescent="0.25">
      <c r="A61" s="7" t="s">
        <v>191</v>
      </c>
    </row>
    <row r="62" spans="1:1" ht="16.5" x14ac:dyDescent="0.25">
      <c r="A62" s="6">
        <v>18</v>
      </c>
    </row>
    <row r="63" spans="1:1" ht="16.5" x14ac:dyDescent="0.25">
      <c r="A63" s="3"/>
    </row>
    <row r="64" spans="1:1" ht="30" x14ac:dyDescent="0.25">
      <c r="A64" s="4" t="s">
        <v>177</v>
      </c>
    </row>
    <row r="65" spans="1:1" ht="181.5" x14ac:dyDescent="0.25">
      <c r="A65" s="5" t="s">
        <v>199</v>
      </c>
    </row>
    <row r="66" spans="1:1" ht="24" x14ac:dyDescent="0.25">
      <c r="A66" s="7" t="s">
        <v>200</v>
      </c>
    </row>
    <row r="67" spans="1:1" ht="36" x14ac:dyDescent="0.25">
      <c r="A67" s="8" t="s">
        <v>201</v>
      </c>
    </row>
    <row r="68" spans="1:1" x14ac:dyDescent="0.25">
      <c r="A68" s="9">
        <v>110</v>
      </c>
    </row>
    <row r="69" spans="1:1" ht="16.5" x14ac:dyDescent="0.25">
      <c r="A69" s="6">
        <v>96.8</v>
      </c>
    </row>
    <row r="70" spans="1:1" ht="16.5" x14ac:dyDescent="0.25">
      <c r="A70" s="3"/>
    </row>
    <row r="71" spans="1:1" ht="30" x14ac:dyDescent="0.25">
      <c r="A71" s="4" t="s">
        <v>181</v>
      </c>
    </row>
    <row r="72" spans="1:1" ht="115.5" x14ac:dyDescent="0.25">
      <c r="A72" s="5" t="s">
        <v>202</v>
      </c>
    </row>
    <row r="73" spans="1:1" ht="24" x14ac:dyDescent="0.25">
      <c r="A73" s="7" t="s">
        <v>185</v>
      </c>
    </row>
    <row r="74" spans="1:1" ht="16.5" x14ac:dyDescent="0.25">
      <c r="A74" s="6">
        <v>66</v>
      </c>
    </row>
    <row r="75" spans="1:1" ht="16.5" x14ac:dyDescent="0.25">
      <c r="A75" s="3"/>
    </row>
    <row r="76" spans="1:1" ht="30" x14ac:dyDescent="0.25">
      <c r="A76" s="4" t="s">
        <v>175</v>
      </c>
    </row>
    <row r="77" spans="1:1" ht="198" x14ac:dyDescent="0.25">
      <c r="A77" s="5" t="s">
        <v>203</v>
      </c>
    </row>
    <row r="78" spans="1:1" ht="16.5" x14ac:dyDescent="0.25">
      <c r="A78" s="6">
        <v>5</v>
      </c>
    </row>
    <row r="79" spans="1:1" ht="16.5" x14ac:dyDescent="0.25">
      <c r="A79" s="3"/>
    </row>
    <row r="80" spans="1:1" ht="30" x14ac:dyDescent="0.25">
      <c r="A80" s="4" t="s">
        <v>177</v>
      </c>
    </row>
    <row r="81" spans="1:1" ht="115.5" x14ac:dyDescent="0.25">
      <c r="A81" s="5" t="s">
        <v>204</v>
      </c>
    </row>
    <row r="82" spans="1:1" ht="24" x14ac:dyDescent="0.25">
      <c r="A82" s="7" t="s">
        <v>205</v>
      </c>
    </row>
    <row r="83" spans="1:1" ht="36" x14ac:dyDescent="0.25">
      <c r="A83" s="8" t="s">
        <v>206</v>
      </c>
    </row>
    <row r="84" spans="1:1" x14ac:dyDescent="0.25">
      <c r="A84" s="9">
        <v>180</v>
      </c>
    </row>
    <row r="85" spans="1:1" ht="16.5" x14ac:dyDescent="0.25">
      <c r="A85" s="6">
        <v>165.6</v>
      </c>
    </row>
    <row r="86" spans="1:1" ht="16.5" x14ac:dyDescent="0.25">
      <c r="A86" s="3"/>
    </row>
    <row r="87" spans="1:1" ht="30" x14ac:dyDescent="0.25">
      <c r="A87" s="4" t="s">
        <v>175</v>
      </c>
    </row>
    <row r="88" spans="1:1" ht="115.5" x14ac:dyDescent="0.25">
      <c r="A88" s="5" t="s">
        <v>207</v>
      </c>
    </row>
    <row r="89" spans="1:1" ht="16.5" x14ac:dyDescent="0.25">
      <c r="A89" s="6">
        <v>59</v>
      </c>
    </row>
    <row r="90" spans="1:1" ht="16.5" x14ac:dyDescent="0.25">
      <c r="A90" s="3"/>
    </row>
    <row r="91" spans="1:1" ht="30" x14ac:dyDescent="0.25">
      <c r="A91" s="4" t="s">
        <v>175</v>
      </c>
    </row>
    <row r="92" spans="1:1" ht="280.5" x14ac:dyDescent="0.25">
      <c r="A92" s="5" t="s">
        <v>208</v>
      </c>
    </row>
    <row r="93" spans="1:1" ht="16.5" x14ac:dyDescent="0.25">
      <c r="A93" s="6">
        <v>157</v>
      </c>
    </row>
    <row r="94" spans="1:1" ht="16.5" x14ac:dyDescent="0.25">
      <c r="A94" s="3"/>
    </row>
    <row r="95" spans="1:1" ht="30" x14ac:dyDescent="0.25">
      <c r="A95" s="4" t="s">
        <v>177</v>
      </c>
    </row>
    <row r="96" spans="1:1" ht="82.5" x14ac:dyDescent="0.25">
      <c r="A96" s="5" t="s">
        <v>209</v>
      </c>
    </row>
    <row r="97" spans="1:1" ht="24" x14ac:dyDescent="0.25">
      <c r="A97" s="7" t="s">
        <v>210</v>
      </c>
    </row>
    <row r="98" spans="1:1" ht="36" x14ac:dyDescent="0.25">
      <c r="A98" s="8" t="s">
        <v>211</v>
      </c>
    </row>
    <row r="99" spans="1:1" x14ac:dyDescent="0.25">
      <c r="A99" s="9">
        <v>100</v>
      </c>
    </row>
    <row r="100" spans="1:1" ht="16.5" x14ac:dyDescent="0.25">
      <c r="A100" s="6">
        <v>88</v>
      </c>
    </row>
    <row r="101" spans="1:1" ht="16.5" x14ac:dyDescent="0.25">
      <c r="A101" s="3"/>
    </row>
    <row r="102" spans="1:1" ht="30" x14ac:dyDescent="0.25">
      <c r="A102" s="4" t="s">
        <v>175</v>
      </c>
    </row>
    <row r="103" spans="1:1" ht="165" x14ac:dyDescent="0.25">
      <c r="A103" s="5" t="s">
        <v>212</v>
      </c>
    </row>
    <row r="104" spans="1:1" ht="16.5" x14ac:dyDescent="0.25">
      <c r="A104" s="6">
        <v>51</v>
      </c>
    </row>
    <row r="105" spans="1:1" ht="16.5" x14ac:dyDescent="0.25">
      <c r="A105" s="3"/>
    </row>
    <row r="106" spans="1:1" ht="30" x14ac:dyDescent="0.25">
      <c r="A106" s="4" t="s">
        <v>175</v>
      </c>
    </row>
    <row r="107" spans="1:1" ht="165" x14ac:dyDescent="0.25">
      <c r="A107" s="5" t="s">
        <v>213</v>
      </c>
    </row>
    <row r="108" spans="1:1" ht="16.5" x14ac:dyDescent="0.25">
      <c r="A108" s="6">
        <v>50</v>
      </c>
    </row>
    <row r="109" spans="1:1" ht="16.5" x14ac:dyDescent="0.25">
      <c r="A109" s="3"/>
    </row>
    <row r="110" spans="1:1" ht="30" x14ac:dyDescent="0.25">
      <c r="A110" s="4" t="s">
        <v>177</v>
      </c>
    </row>
    <row r="111" spans="1:1" ht="132" x14ac:dyDescent="0.25">
      <c r="A111" s="5" t="s">
        <v>214</v>
      </c>
    </row>
    <row r="112" spans="1:1" ht="24" x14ac:dyDescent="0.25">
      <c r="A112" s="7" t="s">
        <v>210</v>
      </c>
    </row>
    <row r="113" spans="1:1" ht="36" x14ac:dyDescent="0.25">
      <c r="A113" s="8" t="s">
        <v>215</v>
      </c>
    </row>
    <row r="114" spans="1:1" x14ac:dyDescent="0.25">
      <c r="A114" s="9">
        <v>100</v>
      </c>
    </row>
    <row r="115" spans="1:1" ht="16.5" x14ac:dyDescent="0.25">
      <c r="A115" s="6">
        <v>90</v>
      </c>
    </row>
    <row r="116" spans="1:1" ht="16.5" x14ac:dyDescent="0.25">
      <c r="A116" s="3"/>
    </row>
    <row r="117" spans="1:1" ht="30" x14ac:dyDescent="0.25">
      <c r="A117" s="4" t="s">
        <v>177</v>
      </c>
    </row>
    <row r="118" spans="1:1" ht="165" x14ac:dyDescent="0.25">
      <c r="A118" s="5" t="s">
        <v>216</v>
      </c>
    </row>
    <row r="119" spans="1:1" x14ac:dyDescent="0.25">
      <c r="A119" s="7" t="s">
        <v>217</v>
      </c>
    </row>
    <row r="120" spans="1:1" ht="36" x14ac:dyDescent="0.25">
      <c r="A120" s="8" t="s">
        <v>218</v>
      </c>
    </row>
    <row r="121" spans="1:1" x14ac:dyDescent="0.25">
      <c r="A121" s="9">
        <v>70</v>
      </c>
    </row>
    <row r="122" spans="1:1" ht="16.5" x14ac:dyDescent="0.25">
      <c r="A122" s="6">
        <v>63</v>
      </c>
    </row>
    <row r="123" spans="1:1" ht="16.5" x14ac:dyDescent="0.25">
      <c r="A123" s="3"/>
    </row>
    <row r="124" spans="1:1" ht="30" x14ac:dyDescent="0.25">
      <c r="A124" s="4" t="s">
        <v>177</v>
      </c>
    </row>
    <row r="125" spans="1:1" ht="132" x14ac:dyDescent="0.25">
      <c r="A125" s="5" t="s">
        <v>219</v>
      </c>
    </row>
    <row r="126" spans="1:1" x14ac:dyDescent="0.25">
      <c r="A126" s="7" t="s">
        <v>220</v>
      </c>
    </row>
    <row r="127" spans="1:1" ht="36" x14ac:dyDescent="0.25">
      <c r="A127" s="8" t="s">
        <v>221</v>
      </c>
    </row>
    <row r="128" spans="1:1" x14ac:dyDescent="0.25">
      <c r="A128" s="9">
        <v>50</v>
      </c>
    </row>
    <row r="129" spans="1:1" ht="16.5" x14ac:dyDescent="0.25">
      <c r="A129" s="6">
        <v>45</v>
      </c>
    </row>
    <row r="130" spans="1:1" ht="16.5" x14ac:dyDescent="0.25">
      <c r="A130" s="3"/>
    </row>
    <row r="131" spans="1:1" ht="30" x14ac:dyDescent="0.25">
      <c r="A131" s="4" t="s">
        <v>222</v>
      </c>
    </row>
    <row r="132" spans="1:1" ht="82.5" x14ac:dyDescent="0.25">
      <c r="A132" s="5" t="s">
        <v>223</v>
      </c>
    </row>
    <row r="133" spans="1:1" ht="24" x14ac:dyDescent="0.25">
      <c r="A133" s="7" t="s">
        <v>210</v>
      </c>
    </row>
    <row r="134" spans="1:1" ht="16.5" x14ac:dyDescent="0.25">
      <c r="A134" s="6">
        <v>30</v>
      </c>
    </row>
    <row r="135" spans="1:1" ht="16.5" x14ac:dyDescent="0.25">
      <c r="A135" s="3"/>
    </row>
    <row r="136" spans="1:1" ht="30" x14ac:dyDescent="0.25">
      <c r="A136" s="4" t="s">
        <v>175</v>
      </c>
    </row>
    <row r="137" spans="1:1" ht="165" x14ac:dyDescent="0.25">
      <c r="A137" s="5" t="s">
        <v>224</v>
      </c>
    </row>
    <row r="138" spans="1:1" ht="16.5" x14ac:dyDescent="0.25">
      <c r="A138" s="6">
        <v>43</v>
      </c>
    </row>
    <row r="139" spans="1:1" ht="16.5" x14ac:dyDescent="0.25">
      <c r="A139" s="3"/>
    </row>
    <row r="140" spans="1:1" ht="30" x14ac:dyDescent="0.25">
      <c r="A140" s="4" t="s">
        <v>181</v>
      </c>
    </row>
    <row r="141" spans="1:1" ht="115.5" x14ac:dyDescent="0.25">
      <c r="A141" s="5" t="s">
        <v>225</v>
      </c>
    </row>
    <row r="142" spans="1:1" ht="24" x14ac:dyDescent="0.25">
      <c r="A142" s="7" t="s">
        <v>226</v>
      </c>
    </row>
    <row r="143" spans="1:1" ht="16.5" x14ac:dyDescent="0.25">
      <c r="A143" s="6">
        <v>138</v>
      </c>
    </row>
    <row r="144" spans="1:1" ht="16.5" x14ac:dyDescent="0.25">
      <c r="A144" s="3"/>
    </row>
    <row r="145" spans="1:1" ht="30" x14ac:dyDescent="0.25">
      <c r="A145" s="4" t="s">
        <v>177</v>
      </c>
    </row>
    <row r="146" spans="1:1" ht="148.5" x14ac:dyDescent="0.25">
      <c r="A146" s="5" t="s">
        <v>227</v>
      </c>
    </row>
    <row r="147" spans="1:1" ht="24" x14ac:dyDescent="0.25">
      <c r="A147" s="7" t="s">
        <v>228</v>
      </c>
    </row>
    <row r="148" spans="1:1" ht="36" x14ac:dyDescent="0.25">
      <c r="A148" s="8" t="s">
        <v>229</v>
      </c>
    </row>
    <row r="149" spans="1:1" x14ac:dyDescent="0.25">
      <c r="A149" s="9">
        <v>350</v>
      </c>
    </row>
    <row r="150" spans="1:1" ht="16.5" x14ac:dyDescent="0.25">
      <c r="A150" s="6">
        <v>308</v>
      </c>
    </row>
    <row r="151" spans="1:1" ht="16.5" x14ac:dyDescent="0.25">
      <c r="A151" s="3"/>
    </row>
    <row r="152" spans="1:1" ht="30" x14ac:dyDescent="0.25">
      <c r="A152" s="4" t="s">
        <v>175</v>
      </c>
    </row>
    <row r="153" spans="1:1" ht="132" x14ac:dyDescent="0.25">
      <c r="A153" s="5" t="s">
        <v>230</v>
      </c>
    </row>
    <row r="154" spans="1:1" ht="16.5" x14ac:dyDescent="0.25">
      <c r="A154" s="6">
        <v>170</v>
      </c>
    </row>
    <row r="155" spans="1:1" ht="16.5" x14ac:dyDescent="0.25">
      <c r="A155" s="3"/>
    </row>
    <row r="156" spans="1:1" ht="30" x14ac:dyDescent="0.25">
      <c r="A156" s="4" t="s">
        <v>175</v>
      </c>
    </row>
    <row r="157" spans="1:1" ht="82.5" x14ac:dyDescent="0.25">
      <c r="A157" s="5" t="s">
        <v>231</v>
      </c>
    </row>
    <row r="158" spans="1:1" ht="16.5" x14ac:dyDescent="0.25">
      <c r="A158" s="6">
        <v>17</v>
      </c>
    </row>
    <row r="159" spans="1:1" ht="16.5" x14ac:dyDescent="0.25">
      <c r="A159" s="3"/>
    </row>
    <row r="160" spans="1:1" ht="30" x14ac:dyDescent="0.25">
      <c r="A160" s="4" t="s">
        <v>181</v>
      </c>
    </row>
    <row r="161" spans="1:1" ht="115.5" x14ac:dyDescent="0.25">
      <c r="A161" s="5" t="s">
        <v>232</v>
      </c>
    </row>
    <row r="162" spans="1:1" x14ac:dyDescent="0.25">
      <c r="A162" s="7" t="s">
        <v>217</v>
      </c>
    </row>
    <row r="163" spans="1:1" ht="16.5" x14ac:dyDescent="0.25">
      <c r="A163" s="6">
        <v>14</v>
      </c>
    </row>
    <row r="164" spans="1:1" ht="16.5" x14ac:dyDescent="0.25">
      <c r="A164" s="3"/>
    </row>
    <row r="165" spans="1:1" ht="30" x14ac:dyDescent="0.25">
      <c r="A165" s="4" t="s">
        <v>181</v>
      </c>
    </row>
    <row r="166" spans="1:1" ht="148.5" x14ac:dyDescent="0.25">
      <c r="A166" s="5" t="s">
        <v>233</v>
      </c>
    </row>
    <row r="167" spans="1:1" ht="24" x14ac:dyDescent="0.25">
      <c r="A167" s="7" t="s">
        <v>234</v>
      </c>
    </row>
    <row r="168" spans="1:1" ht="16.5" x14ac:dyDescent="0.25">
      <c r="A168" s="6">
        <v>76</v>
      </c>
    </row>
    <row r="169" spans="1:1" ht="16.5" x14ac:dyDescent="0.25">
      <c r="A169" s="3"/>
    </row>
    <row r="170" spans="1:1" ht="30" x14ac:dyDescent="0.25">
      <c r="A170" s="4" t="s">
        <v>181</v>
      </c>
    </row>
    <row r="171" spans="1:1" ht="165" x14ac:dyDescent="0.25">
      <c r="A171" s="5" t="s">
        <v>235</v>
      </c>
    </row>
    <row r="172" spans="1:1" ht="24" x14ac:dyDescent="0.25">
      <c r="A172" s="7" t="s">
        <v>236</v>
      </c>
    </row>
    <row r="173" spans="1:1" ht="16.5" x14ac:dyDescent="0.25">
      <c r="A173" s="6">
        <v>32</v>
      </c>
    </row>
    <row r="174" spans="1:1" ht="16.5" x14ac:dyDescent="0.25">
      <c r="A174" s="3"/>
    </row>
    <row r="175" spans="1:1" ht="30" x14ac:dyDescent="0.25">
      <c r="A175" s="4" t="s">
        <v>175</v>
      </c>
    </row>
    <row r="176" spans="1:1" ht="231" x14ac:dyDescent="0.25">
      <c r="A176" s="5" t="s">
        <v>237</v>
      </c>
    </row>
    <row r="177" spans="1:1" ht="16.5" x14ac:dyDescent="0.25">
      <c r="A177" s="6">
        <v>125</v>
      </c>
    </row>
    <row r="178" spans="1:1" ht="16.5" x14ac:dyDescent="0.25">
      <c r="A178" s="3"/>
    </row>
    <row r="179" spans="1:1" ht="30" x14ac:dyDescent="0.25">
      <c r="A179" s="4" t="s">
        <v>181</v>
      </c>
    </row>
    <row r="180" spans="1:1" ht="247.5" x14ac:dyDescent="0.25">
      <c r="A180" s="5" t="s">
        <v>238</v>
      </c>
    </row>
    <row r="181" spans="1:1" ht="24" x14ac:dyDescent="0.25">
      <c r="A181" s="7" t="s">
        <v>239</v>
      </c>
    </row>
    <row r="182" spans="1:1" ht="16.5" x14ac:dyDescent="0.25">
      <c r="A182" s="6">
        <v>1350</v>
      </c>
    </row>
  </sheetData>
  <hyperlinks>
    <hyperlink ref="A2" r:id="rId1" display="https://quartzcomponents.com/products/heat-shrink-tube-1mm-diameter-red-1-meter?variant=40094700142776&amp;sso=silent" xr:uid="{AAFAC5AC-BD79-4587-9617-803B50065F15}"/>
    <hyperlink ref="A6" r:id="rId2" display="https://quartzcomponents.com/products/ch2-quick-cable-clamp-terminal-2-way-quick-spring-wire-connector-splice?variant=44162556264682&amp;sso=silent" xr:uid="{15DCFE8A-9507-4402-846F-95E97D16C9AA}"/>
    <hyperlink ref="A13" r:id="rId3" display="https://quartzcomponents.com/products/ams117-3-3v-smd-voltage-regulator-3-3v?variant=35653066752153&amp;sso=silent" xr:uid="{97420861-85C8-4587-B52F-9963F1F95205}"/>
    <hyperlink ref="A18" r:id="rId4" display="https://quartzcomponents.com/products/55mm-propellor-blades?variant=31898074448007&amp;sso=silent" xr:uid="{9190B545-74FD-4C3B-BAEB-F17A78235FBD}"/>
    <hyperlink ref="A23" r:id="rId5" display="https://quartzcomponents.com/products/816-magnetic-micro-coreless-drone-motor-ccw-anticlockwise?variant=45005019775210&amp;sso=silent" xr:uid="{30D26090-45AF-4A3F-8695-8E9DDDA2134F}"/>
    <hyperlink ref="A28" r:id="rId6" display="https://quartzcomponents.com/products/816-magnetic-micro-coreless-drone-motor-cw?variant=45005004472554&amp;sso=silent" xr:uid="{698A545F-A952-4725-A8A2-916A31561EBF}"/>
    <hyperlink ref="A33" r:id="rId7" display="https://quartzcomponents.com/products/small-piezoelectric-buzzer-5v-passive-buzzer?variant=43168701284586&amp;sso=silent" xr:uid="{0CD04DEE-7452-4EE1-8A25-6F040A8D46E6}"/>
    <hyperlink ref="A38" r:id="rId8" display="https://quartzcomponents.com/products/hc-sr04-ultrasonic-sensor-module?variant=31897769410695&amp;sso=silent" xr:uid="{AD70D199-90D6-49C2-AD28-3FFEE6831BC0}"/>
    <hyperlink ref="A42" r:id="rId9" display="https://quartzcomponents.com/products/mq-135-air-quality-gas-sensor-module?variant=31897785925767&amp;sso=silent" xr:uid="{27F7DA64-2F12-4391-ADD6-4B6D48C8FF0E}"/>
    <hyperlink ref="A46" r:id="rId10" display="https://quartzcomponents.com/products/mpu6050-gyroscope-accelerometer-sensor?variant=31897777733767&amp;sso=silent" xr:uid="{A5AE5019-9EE9-4FA0-9BF4-9606108EDE2A}"/>
    <hyperlink ref="A50" r:id="rId11" display="https://quartzcomponents.com/products/female-dc-power-supply-connector-barrel-dc-jack?variant=32532656455815&amp;sso=silent" xr:uid="{9462AA4B-47CC-443F-B869-6DF0A0EDB1BE}"/>
    <hyperlink ref="A55" r:id="rId12" display="https://quartzcomponents.com/products/6mm-x-0-12mm-nickel-coated-strip-for-18650-cells-1-meter?variant=44952887427306&amp;sso=silent" xr:uid="{98CCB144-3FF9-408C-9123-397EC2189130}"/>
    <hyperlink ref="A59" r:id="rId13" display="https://quartzcomponents.com/products/dc-male-power-connector-dc-barrel-jack-2-1mm?variant=32557183664263&amp;sso=silent" xr:uid="{1A03EC61-2043-4623-B9A6-B0A3AE535BDC}"/>
    <hyperlink ref="A64" r:id="rId14" display="https://quartzcomponents.com/products/3-section-18650-lithium-battery-support-bracket?variant=38008601673912&amp;sso=silent" xr:uid="{F2587500-CC84-4996-8FB0-1600FD1C0CBA}"/>
    <hyperlink ref="A71" r:id="rId15" display="https://quartzcomponents.com/products/nmc-battery-protection-module-1s-5amps-1?variant=39406633746616&amp;sso=silent" xr:uid="{2BAE5A86-8F04-4736-ADBA-4E838A7F5ADA}"/>
    <hyperlink ref="A76" r:id="rId16" display="https://quartzcomponents.com/products/c-type-female-usb-port-plug-6-pin-smd-smt-jack-solder-connector?variant=45108613841130&amp;sso=silent" xr:uid="{AE355399-5924-4326-9C34-B6C0362EB922}"/>
    <hyperlink ref="A80" r:id="rId17" display="https://quartzcomponents.com/products/spdt-5v-pcb-relay?variant=31898040828039&amp;sso=silent" xr:uid="{A03DA285-DAFE-4849-A42E-BAF29A517943}"/>
    <hyperlink ref="A87" r:id="rId18" display="https://quartzcomponents.com/products/xl6009-dc-dc-boost-power-supply-module?variant=34741150417049&amp;sso=silent" xr:uid="{8320D1FF-C4AD-47F8-9AE1-12FD6533BA07}"/>
    <hyperlink ref="A91" r:id="rId19" display="https://quartzcomponents.com/products/18650-5v-2-4a-lithium-battery-dual-usb-output-with-digital-display-charging-module?variant=44896798834922&amp;sso=silent" xr:uid="{55B0DA04-52C9-4628-ACB1-2490802874C8}"/>
    <hyperlink ref="A95" r:id="rId20" display="https://quartzcomponents.com/products/usb-type-a-female-connector-blue?variant=40573946691768&amp;sso=silent" xr:uid="{B343AA28-E086-4783-B34C-C3F30E97C6B5}"/>
    <hyperlink ref="A102" r:id="rId21" display="https://quartzcomponents.com/products/male-to-female-connecting-wires-jumper-wires-set-of-40?variant=45062852673770&amp;sso=silent" xr:uid="{9083DFE3-85E7-4FCE-B8C6-C61D94F6D8C8}"/>
    <hyperlink ref="A106" r:id="rId22" display="https://quartzcomponents.com/products/female-to-female-connecting-wires-jumper-wires-set-of-40?variant=45062849593578&amp;sso=silent" xr:uid="{8B381E85-8898-45C8-A270-B76216D7A2D5}"/>
    <hyperlink ref="A110" r:id="rId23" display="https://quartzcomponents.com/products/40-pin-straight-female-berg-strips?variant=31898065830023&amp;sso=silent" xr:uid="{BACBB6F7-6790-4A52-9D4D-321A9B4E9526}"/>
    <hyperlink ref="A117" r:id="rId24" display="https://quartzcomponents.com/products/3-pin-pcb-mount-terminal-block-screw-type?variant=37780615856312&amp;sso=silent" xr:uid="{9AD17951-4FE2-456B-9179-4509C3017C8D}"/>
    <hyperlink ref="A124" r:id="rId25" display="https://quartzcomponents.com/products/ldr-light-dependent-resistor-5mm?variant=31898051543175&amp;sso=silent" xr:uid="{9A873BDE-014B-49C0-853D-EDE756B342DC}"/>
    <hyperlink ref="A131" r:id="rId26" display="https://quartzcomponents.com/products/1n4004-diode-1?variant=42295941333226&amp;sso=silent" xr:uid="{7CF9EB95-E885-4897-B80E-400CC1BBA686}"/>
    <hyperlink ref="A136" r:id="rId27" display="https://quartzcomponents.com/products/panel-mount-barrier-terminal-block-2-row-12-way?variant=40656574447800&amp;sso=silent" xr:uid="{5F68517E-E347-4ADF-9D43-316DEB151C92}"/>
    <hyperlink ref="A140" r:id="rId28" display="https://quartzcomponents.com/products/hc-sr501-pir-sensor?variant=31897999540359&amp;sso=silent" xr:uid="{EB965BAF-4346-495D-B0D3-889FCE33E173}"/>
    <hyperlink ref="A145" r:id="rId29" display="https://quartzcomponents.com/products/fr4-copper-clad-plate-laminate-single-side-pcb?variant=36123633025177&amp;sso=silent" xr:uid="{9E2C2570-50BE-4485-A86F-535262CBEA5A}"/>
    <hyperlink ref="A152" r:id="rId30" display="https://quartzcomponents.com/products/flux-core-solder-wire-18swg-50gms?variant=33520319987847&amp;sso=silent" xr:uid="{BDECD7D0-58D0-456A-B3E2-FF1F1C8FFD05}"/>
    <hyperlink ref="A156" r:id="rId31" display="https://quartzcomponents.com/products/laser-diode-laser-led-light?variant=33798925254791&amp;sso=silent" xr:uid="{4150ED5A-E487-49A4-A647-BD809654377D}"/>
    <hyperlink ref="A160" r:id="rId32" display="https://quartzcomponents.com/products/40-pin-break-away-headers-straight-male-headers?variant=31898065633415&amp;sso=silent" xr:uid="{48EDCEA3-FD3D-41AD-8033-3A730DCC278B}"/>
    <hyperlink ref="A165" r:id="rId33" display="https://quartzcomponents.com/products/mt3608-2a-dc-dc-step-up-boost-power-module?variant=34741121712281&amp;sso=silent" xr:uid="{EFA14EC1-2183-4B67-B2B8-55CD98FD3F67}"/>
    <hyperlink ref="A170" r:id="rId34" display="https://quartzcomponents.com/products/tp4056-battery-charging-protection-module-type-c?variant=39545849774264&amp;sso=silent" xr:uid="{EBB00CEB-F8F5-4C97-820A-6D6625671971}"/>
    <hyperlink ref="A175" r:id="rId35" display="https://quartzcomponents.com/products/ads1115-16-bit-adc-i2c-4-channel-module-with-programmable-gain-amplifier?variant=46124894716138&amp;sso=silent" xr:uid="{217BD33B-753B-4D8E-8D82-E482BE138B54}"/>
    <hyperlink ref="A179" r:id="rId36" display="https://quartzcomponents.com/products/esp32-camera-development-board-wifi-bluetooth-with-ov2640-camera-module?variant=37646399570104&amp;sso=silent" xr:uid="{0068CA32-CB7E-4550-BFB0-41C3EF6CAC52}"/>
  </hyperlinks>
  <pageMargins left="0.7" right="0.7" top="0.75" bottom="0.75" header="0.3" footer="0.3"/>
  <pageSetup orientation="portrait" r:id="rId37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G, Ananthpadmanaban</cp:lastModifiedBy>
  <dcterms:created xsi:type="dcterms:W3CDTF">2026-08-29T02:51:00Z</dcterms:created>
  <dcterms:modified xsi:type="dcterms:W3CDTF">2026-08-29T20:41:14Z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2026-08-29T02:51:00Z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bb114f5c-94c9-4283-8653-3c30be1687b7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10, 0, 1, 1</vt:lpwstr>
  </property>
</Properties>
</file>